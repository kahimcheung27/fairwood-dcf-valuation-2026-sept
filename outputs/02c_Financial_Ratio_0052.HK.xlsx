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WS-14\Desktop\26aug\"/>
    </mc:Choice>
  </mc:AlternateContent>
  <xr:revisionPtr revIDLastSave="0" documentId="13_ncr:1_{77758BF2-D845-4A6B-A946-95CF449B4F45}" xr6:coauthVersionLast="47" xr6:coauthVersionMax="47" xr10:uidLastSave="{00000000-0000-0000-0000-000000000000}"/>
  <bookViews>
    <workbookView xWindow="39120" yWindow="5310" windowWidth="28800" windowHeight="15370" xr2:uid="{00000000-000D-0000-FFFF-FFFF00000000}"/>
  </bookViews>
  <sheets>
    <sheet name="Financial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  <c r="B26" i="1"/>
  <c r="F25" i="1"/>
  <c r="E25" i="1"/>
  <c r="C25" i="1"/>
  <c r="B25" i="1"/>
  <c r="F24" i="1"/>
  <c r="E24" i="1"/>
  <c r="D24" i="1"/>
  <c r="D25" i="1" s="1"/>
  <c r="C24" i="1"/>
  <c r="B24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E17" i="1"/>
  <c r="D17" i="1"/>
  <c r="F16" i="1"/>
  <c r="F17" i="1" s="1"/>
  <c r="E16" i="1"/>
  <c r="D16" i="1"/>
  <c r="C16" i="1"/>
  <c r="C17" i="1" s="1"/>
  <c r="B16" i="1"/>
  <c r="B17" i="1" s="1"/>
  <c r="F15" i="1"/>
  <c r="E15" i="1"/>
  <c r="F14" i="1"/>
  <c r="E14" i="1"/>
  <c r="D14" i="1"/>
  <c r="D15" i="1" s="1"/>
  <c r="C14" i="1"/>
  <c r="C15" i="1" s="1"/>
  <c r="B14" i="1"/>
  <c r="B15" i="1" s="1"/>
  <c r="E13" i="1"/>
  <c r="E18" i="1" s="1"/>
  <c r="D13" i="1"/>
  <c r="F12" i="1"/>
  <c r="F13" i="1" s="1"/>
  <c r="E12" i="1"/>
  <c r="D12" i="1"/>
  <c r="C12" i="1"/>
  <c r="C13" i="1" s="1"/>
  <c r="B12" i="1"/>
  <c r="B13" i="1" s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B18" i="1" l="1"/>
  <c r="C18" i="1"/>
  <c r="F18" i="1"/>
  <c r="D18" i="1"/>
</calcChain>
</file>

<file path=xl/sharedStrings.xml><?xml version="1.0" encoding="utf-8"?>
<sst xmlns="http://schemas.openxmlformats.org/spreadsheetml/2006/main" count="58" uniqueCount="58">
  <si>
    <t>0052.HK Financial Ratio Analysis</t>
  </si>
  <si>
    <t>Financial Ratios</t>
  </si>
  <si>
    <t>Financial Variables (in $ millions)</t>
  </si>
  <si>
    <t>Dupont Analysis</t>
  </si>
  <si>
    <t>Revenue</t>
  </si>
  <si>
    <t>Net Income Margin</t>
  </si>
  <si>
    <t>COGS</t>
  </si>
  <si>
    <t>Asset Turnover</t>
  </si>
  <si>
    <t>Gross Profit</t>
  </si>
  <si>
    <t>Equity Multiplier</t>
  </si>
  <si>
    <t>EBIT</t>
  </si>
  <si>
    <t>Profitability Analysis</t>
  </si>
  <si>
    <t>Finance Cost</t>
  </si>
  <si>
    <t>Return on Equity</t>
  </si>
  <si>
    <t>EBT</t>
  </si>
  <si>
    <t>Return on Assets</t>
  </si>
  <si>
    <t>Income Tax</t>
  </si>
  <si>
    <t>EBITDA Margin</t>
  </si>
  <si>
    <t>Net Profit - after Non-controlling Interest</t>
  </si>
  <si>
    <t>Short term Analysis</t>
  </si>
  <si>
    <t>PPE</t>
  </si>
  <si>
    <t>AR Turnover</t>
  </si>
  <si>
    <t>Deferred tax assets</t>
  </si>
  <si>
    <t>Days' AR</t>
  </si>
  <si>
    <t>Total Non-current assets</t>
  </si>
  <si>
    <t>Inventory Turnover</t>
  </si>
  <si>
    <t>Inventories</t>
  </si>
  <si>
    <t>Days' Inventory</t>
  </si>
  <si>
    <t>Receivables</t>
  </si>
  <si>
    <t>AP Turnover</t>
  </si>
  <si>
    <t>Cash at Year End</t>
  </si>
  <si>
    <t>Days' AP</t>
  </si>
  <si>
    <t>Total Current assets</t>
  </si>
  <si>
    <t>Cash Conversion Cycle</t>
  </si>
  <si>
    <t>Payables</t>
  </si>
  <si>
    <t>Liquidity Analysis</t>
  </si>
  <si>
    <t>Lease Liabilities</t>
  </si>
  <si>
    <t>Current ratio</t>
  </si>
  <si>
    <t>Bank borrowings</t>
  </si>
  <si>
    <t>Quick ratio</t>
  </si>
  <si>
    <t>Total Current liabilities</t>
  </si>
  <si>
    <t>Cash ratio</t>
  </si>
  <si>
    <t>Total Non-current liabilities</t>
  </si>
  <si>
    <t>Solvency</t>
  </si>
  <si>
    <t>Total equity - after Non-controlling Interest</t>
  </si>
  <si>
    <t>Total Debt</t>
  </si>
  <si>
    <t>Dividends paid</t>
  </si>
  <si>
    <t>Debt-to-equity Ratio</t>
  </si>
  <si>
    <t>Depreciation &amp; Amortisation</t>
  </si>
  <si>
    <t>Interest Coverage Ratio</t>
  </si>
  <si>
    <t>Capex - PPE Additions</t>
  </si>
  <si>
    <t>Trade Receivables</t>
  </si>
  <si>
    <t>Other Receivables</t>
  </si>
  <si>
    <t>Bank Deposits (&lt; 3 months)</t>
  </si>
  <si>
    <t>Cash &amp; Cash Equivalents</t>
  </si>
  <si>
    <t>Trade Payables</t>
  </si>
  <si>
    <t>Other Payables</t>
  </si>
  <si>
    <t>Processed by: Austin | Timestamp: 2026-09-02 10:20:46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</si>
</sst>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595959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P6" sqref="P6"/>
    </sheetView>
  </sheetViews>
  <sheetFormatPr defaultRowHeight="14.5" x14ac:dyDescent="0.35"/>
  <cols>
    <col min="1" max="1" width="47.6328125" bestFit="1" customWidth="1"/>
    <col min="2" max="4" width="7.36328125" bestFit="1" customWidth="1"/>
    <col min="5" max="6" width="6.81640625" bestFit="1" customWidth="1"/>
    <col min="7" max="7" width="12" customWidth="1"/>
    <col min="8" max="8" width="37" bestFit="1" customWidth="1"/>
    <col min="9" max="14" width="8.81640625" bestFit="1" customWidth="1"/>
  </cols>
  <sheetData>
    <row r="1" spans="1:14" ht="18.5" x14ac:dyDescent="0.45">
      <c r="A1" s="2" t="s">
        <v>0</v>
      </c>
    </row>
    <row r="2" spans="1:14" x14ac:dyDescent="0.35">
      <c r="A2" s="1" t="s">
        <v>1</v>
      </c>
      <c r="B2" s="1">
        <v>2022</v>
      </c>
      <c r="C2" s="1">
        <v>2023</v>
      </c>
      <c r="D2" s="1">
        <v>2024</v>
      </c>
      <c r="E2" s="1">
        <v>2025</v>
      </c>
      <c r="F2" s="1">
        <v>2026</v>
      </c>
      <c r="G2" s="1"/>
      <c r="H2" s="1" t="s">
        <v>2</v>
      </c>
      <c r="I2" s="1">
        <v>2021</v>
      </c>
      <c r="J2" s="1">
        <v>2022</v>
      </c>
      <c r="K2" s="1">
        <v>2023</v>
      </c>
      <c r="L2" s="1">
        <v>2024</v>
      </c>
      <c r="M2" s="1">
        <v>2025</v>
      </c>
      <c r="N2" s="1">
        <v>2026</v>
      </c>
    </row>
    <row r="3" spans="1:14" x14ac:dyDescent="0.35">
      <c r="A3" t="s">
        <v>3</v>
      </c>
      <c r="H3" t="s">
        <v>4</v>
      </c>
      <c r="I3">
        <v>2646.4690000000001</v>
      </c>
      <c r="J3">
        <v>2881.942</v>
      </c>
      <c r="K3">
        <v>3024.152</v>
      </c>
      <c r="L3">
        <v>3136.9470000000001</v>
      </c>
      <c r="M3">
        <v>3100.07</v>
      </c>
      <c r="N3">
        <v>3098.8310000000001</v>
      </c>
    </row>
    <row r="4" spans="1:14" x14ac:dyDescent="0.35">
      <c r="A4" t="s">
        <v>5</v>
      </c>
      <c r="B4" s="3">
        <f>J10/J3</f>
        <v>1.4795578814563237E-2</v>
      </c>
      <c r="C4" s="3">
        <f>K10/K3</f>
        <v>1.484052388901087E-2</v>
      </c>
      <c r="D4" s="3">
        <f>L10/L3</f>
        <v>1.6148503624702614E-2</v>
      </c>
      <c r="E4" s="3">
        <f>M10/M3</f>
        <v>1.1464257258707061E-2</v>
      </c>
      <c r="F4" s="3">
        <f>N10/N3</f>
        <v>1.3411509049702936E-2</v>
      </c>
      <c r="H4" t="s">
        <v>6</v>
      </c>
      <c r="I4">
        <v>2318.873</v>
      </c>
      <c r="J4">
        <v>2659.3809999999999</v>
      </c>
      <c r="K4">
        <v>2767.3939999999998</v>
      </c>
      <c r="L4">
        <v>2866.3530000000001</v>
      </c>
      <c r="M4">
        <v>2862.864</v>
      </c>
      <c r="N4">
        <v>2830.39</v>
      </c>
    </row>
    <row r="5" spans="1:14" x14ac:dyDescent="0.35">
      <c r="A5" t="s">
        <v>7</v>
      </c>
      <c r="B5" s="4">
        <f>J3/((J13+J17+I13+I17)/2)</f>
        <v>1.2044961796599467</v>
      </c>
      <c r="C5" s="4">
        <f>K3/((K13+K17+J13+J17)/2)</f>
        <v>1.303566329074038</v>
      </c>
      <c r="D5" s="4">
        <f>L3/((L13+L17+K13+K17)/2)</f>
        <v>1.3787699248146739</v>
      </c>
      <c r="E5" s="4">
        <f>M3/((M13+M17+L13+L17)/2)</f>
        <v>1.4242914310130161</v>
      </c>
      <c r="F5" s="4">
        <f>N3/((N13+N17+M13+M17)/2)</f>
        <v>1.4490960308783247</v>
      </c>
      <c r="H5" t="s">
        <v>8</v>
      </c>
      <c r="I5">
        <v>327.596</v>
      </c>
      <c r="J5">
        <v>222.56100000000001</v>
      </c>
      <c r="K5">
        <v>256.75799999999998</v>
      </c>
      <c r="L5">
        <v>270.59399999999999</v>
      </c>
      <c r="M5">
        <v>237.20599999999999</v>
      </c>
      <c r="N5">
        <v>268.44099999999997</v>
      </c>
    </row>
    <row r="6" spans="1:14" x14ac:dyDescent="0.35">
      <c r="A6" t="s">
        <v>9</v>
      </c>
      <c r="B6" s="4">
        <f>(((J13+J17+I13+I17)/2))/((J23+I23)/2)</f>
        <v>3.2071555528151454</v>
      </c>
      <c r="C6" s="4">
        <f>(((K13+K17+J13+J17)/2))/((K23+J23)/2)</f>
        <v>3.3263527294756123</v>
      </c>
      <c r="D6" s="4">
        <f>(((L13+L17+K13+K17)/2))/((L23+K23)/2)</f>
        <v>3.393169748119734</v>
      </c>
      <c r="E6" s="4">
        <f>(((M13+M17+L13+L17)/2))/((M23+L23)/2)</f>
        <v>3.3168297217396598</v>
      </c>
      <c r="F6" s="4">
        <f>(((N13+N17+M13+M17)/2))/((N23+M23)/2)</f>
        <v>3.2382234471062112</v>
      </c>
      <c r="H6" t="s">
        <v>10</v>
      </c>
      <c r="I6">
        <v>175.22300000000001</v>
      </c>
      <c r="J6">
        <v>80.207999999999998</v>
      </c>
      <c r="K6">
        <v>83.361999999999995</v>
      </c>
      <c r="L6">
        <v>98.491</v>
      </c>
      <c r="M6">
        <v>72.325999999999993</v>
      </c>
      <c r="N6">
        <v>84.26</v>
      </c>
    </row>
    <row r="7" spans="1:14" x14ac:dyDescent="0.35">
      <c r="A7" t="s">
        <v>11</v>
      </c>
      <c r="H7" t="s">
        <v>12</v>
      </c>
      <c r="I7">
        <v>36.823999999999998</v>
      </c>
      <c r="J7">
        <v>32.404000000000003</v>
      </c>
      <c r="K7">
        <v>31.698</v>
      </c>
      <c r="L7">
        <v>33.366</v>
      </c>
      <c r="M7">
        <v>33.677</v>
      </c>
      <c r="N7">
        <v>32.637999999999998</v>
      </c>
    </row>
    <row r="8" spans="1:14" x14ac:dyDescent="0.35">
      <c r="A8" t="s">
        <v>13</v>
      </c>
      <c r="B8" s="3">
        <f>J10/((J23+I23)/2)</f>
        <v>5.7155418773356781E-2</v>
      </c>
      <c r="C8" s="3">
        <f>K10/((K23+J23)/2)</f>
        <v>6.4350313471196144E-2</v>
      </c>
      <c r="D8" s="3">
        <f>L10/((L23+K23)/2)</f>
        <v>7.5549165792962739E-2</v>
      </c>
      <c r="E8" s="3">
        <f>M10/((M23+L23)/2)</f>
        <v>5.4158666300935659E-2</v>
      </c>
      <c r="F8" s="3">
        <f>N10/((N23+M23)/2)</f>
        <v>6.2933462551864078E-2</v>
      </c>
      <c r="H8" t="s">
        <v>14</v>
      </c>
      <c r="I8">
        <v>138.399</v>
      </c>
      <c r="J8">
        <v>47.804000000000002</v>
      </c>
      <c r="K8">
        <v>51.664000000000001</v>
      </c>
      <c r="L8">
        <v>65.125</v>
      </c>
      <c r="M8">
        <v>38.649000000000001</v>
      </c>
      <c r="N8">
        <v>51.622</v>
      </c>
    </row>
    <row r="9" spans="1:14" x14ac:dyDescent="0.35">
      <c r="A9" t="s">
        <v>15</v>
      </c>
      <c r="B9" s="3">
        <f>J10/((J13+J17+I13+I17)/2)</f>
        <v>1.7821218157999058E-2</v>
      </c>
      <c r="C9" s="3">
        <f>K10/((K13+K17+J13+J17)/2)</f>
        <v>1.9345607247533467E-2</v>
      </c>
      <c r="D9" s="3">
        <f>L10/((L13+L17+K13+K17)/2)</f>
        <v>2.2265071128500714E-2</v>
      </c>
      <c r="E9" s="3">
        <f>M10/((M13+M17+L13+L17)/2)</f>
        <v>1.6328443376505238E-2</v>
      </c>
      <c r="F9" s="3">
        <f>N10/((N13+N17+M13+M17)/2)</f>
        <v>1.9434564532013258E-2</v>
      </c>
      <c r="H9" t="s">
        <v>16</v>
      </c>
      <c r="I9">
        <v>-15.217999999999989</v>
      </c>
      <c r="J9">
        <v>5.1640000000000006</v>
      </c>
      <c r="K9">
        <v>6.7839999999999989</v>
      </c>
      <c r="L9">
        <v>14.468</v>
      </c>
      <c r="M9">
        <v>3.1090000000000022</v>
      </c>
      <c r="N9">
        <v>10.061999999999999</v>
      </c>
    </row>
    <row r="10" spans="1:14" x14ac:dyDescent="0.35">
      <c r="A10" t="s">
        <v>17</v>
      </c>
      <c r="B10" s="3">
        <f>(J6+J25)/J3</f>
        <v>0.20110952961579379</v>
      </c>
      <c r="C10" s="3">
        <f>(K6+K25)/K3</f>
        <v>0.18584482526010598</v>
      </c>
      <c r="D10" s="3">
        <f>(L6+L25)/L3</f>
        <v>0.19093213879609694</v>
      </c>
      <c r="E10" s="3">
        <f>(M6+M25)/M3</f>
        <v>0.19202534136325955</v>
      </c>
      <c r="F10" s="3">
        <f>(N6+N25)/N3</f>
        <v>0.19422065933895716</v>
      </c>
      <c r="H10" t="s">
        <v>18</v>
      </c>
      <c r="I10">
        <v>153.61699999999999</v>
      </c>
      <c r="J10">
        <v>42.64</v>
      </c>
      <c r="K10">
        <v>44.88</v>
      </c>
      <c r="L10">
        <v>50.656999999999996</v>
      </c>
      <c r="M10">
        <v>35.54</v>
      </c>
      <c r="N10">
        <v>41.56</v>
      </c>
    </row>
    <row r="11" spans="1:14" x14ac:dyDescent="0.35">
      <c r="A11" t="s">
        <v>19</v>
      </c>
      <c r="H11" t="s">
        <v>20</v>
      </c>
      <c r="I11">
        <v>424.86599999999999</v>
      </c>
      <c r="J11">
        <v>385.197</v>
      </c>
      <c r="K11">
        <v>379.399</v>
      </c>
      <c r="L11">
        <v>396.59300000000002</v>
      </c>
      <c r="M11">
        <v>433.077</v>
      </c>
      <c r="N11">
        <v>466.65</v>
      </c>
    </row>
    <row r="12" spans="1:14" x14ac:dyDescent="0.35">
      <c r="A12" t="s">
        <v>21</v>
      </c>
      <c r="B12" s="4">
        <f>J3/(((J27+J28)+(I27+I28))/2)</f>
        <v>59.56640899508082</v>
      </c>
      <c r="C12" s="4">
        <f>K3/(((K27+K28)+(J27+J28))/2)</f>
        <v>62.899644335364712</v>
      </c>
      <c r="D12" s="4">
        <f>L3/(((L27+L28)+(K27+K28))/2)</f>
        <v>99.910725376224221</v>
      </c>
      <c r="E12" s="4">
        <f>M3/(((M27+M28)+(L27+L28))/2)</f>
        <v>102.69723220644991</v>
      </c>
      <c r="F12" s="4">
        <f>N3/(((N27+N28)+(M27+M28))/2)</f>
        <v>121.98921366007285</v>
      </c>
      <c r="H12" t="s">
        <v>22</v>
      </c>
      <c r="I12">
        <v>3.9350000000000001</v>
      </c>
      <c r="J12">
        <v>5.3360000000000003</v>
      </c>
      <c r="K12">
        <v>4.07</v>
      </c>
      <c r="L12">
        <v>0.70299999999999996</v>
      </c>
      <c r="M12">
        <v>4.6020000000000003</v>
      </c>
      <c r="N12">
        <v>0</v>
      </c>
    </row>
    <row r="13" spans="1:14" x14ac:dyDescent="0.35">
      <c r="A13" t="s">
        <v>23</v>
      </c>
      <c r="B13" s="4">
        <f>360/B12</f>
        <v>6.0436747165626503</v>
      </c>
      <c r="C13" s="4">
        <f>360/C12</f>
        <v>5.7234027919231574</v>
      </c>
      <c r="D13" s="4">
        <f>360/D12</f>
        <v>3.603216758204713</v>
      </c>
      <c r="E13" s="4">
        <f>360/E12</f>
        <v>3.5054498769382625</v>
      </c>
      <c r="F13" s="4">
        <f>360/F12</f>
        <v>2.9510805849044361</v>
      </c>
      <c r="H13" t="s">
        <v>24</v>
      </c>
      <c r="I13">
        <v>1645.7460000000001</v>
      </c>
      <c r="J13">
        <v>1567.7840000000001</v>
      </c>
      <c r="K13">
        <v>1510.098</v>
      </c>
      <c r="L13">
        <v>1451.413</v>
      </c>
      <c r="M13">
        <v>1402.1479999999999</v>
      </c>
      <c r="N13">
        <v>1439.9359999999999</v>
      </c>
    </row>
    <row r="14" spans="1:14" x14ac:dyDescent="0.35">
      <c r="A14" t="s">
        <v>25</v>
      </c>
      <c r="B14" s="4">
        <f>J4/((J14+I14)/2)</f>
        <v>51.495478574056499</v>
      </c>
      <c r="C14" s="4">
        <f>K4/((K14+J14)/2)</f>
        <v>49.022940249065556</v>
      </c>
      <c r="D14" s="4">
        <f>L4/((L14+K14)/2)</f>
        <v>52.945795428307548</v>
      </c>
      <c r="E14" s="4">
        <f>M4/((M14+L14)/2)</f>
        <v>53.545004816099805</v>
      </c>
      <c r="F14" s="4">
        <f>N4/((N14+M14)/2)</f>
        <v>50.893937623059145</v>
      </c>
      <c r="H14" t="s">
        <v>26</v>
      </c>
      <c r="I14">
        <v>46.008000000000003</v>
      </c>
      <c r="J14">
        <v>57.277999999999999</v>
      </c>
      <c r="K14">
        <v>55.624000000000002</v>
      </c>
      <c r="L14">
        <v>52.651000000000003</v>
      </c>
      <c r="M14">
        <v>54.281999999999996</v>
      </c>
      <c r="N14">
        <v>56.945</v>
      </c>
    </row>
    <row r="15" spans="1:14" x14ac:dyDescent="0.35">
      <c r="A15" t="s">
        <v>27</v>
      </c>
      <c r="B15" s="4">
        <f>360/B14</f>
        <v>6.9909050263952404</v>
      </c>
      <c r="C15" s="4">
        <f>360/C14</f>
        <v>7.3435007808790518</v>
      </c>
      <c r="D15" s="4">
        <f>360/D14</f>
        <v>6.7994067722991556</v>
      </c>
      <c r="E15" s="4">
        <f>360/E14</f>
        <v>6.723316231577888</v>
      </c>
      <c r="F15" s="4">
        <f>360/F14</f>
        <v>7.0735340359455767</v>
      </c>
      <c r="H15" t="s">
        <v>28</v>
      </c>
      <c r="I15">
        <v>99.763999999999996</v>
      </c>
      <c r="J15">
        <v>144.66399999999999</v>
      </c>
      <c r="K15">
        <v>90.033000000000001</v>
      </c>
      <c r="L15">
        <v>102.72499999999999</v>
      </c>
      <c r="M15">
        <v>103.194</v>
      </c>
      <c r="N15">
        <v>98.533000000000001</v>
      </c>
    </row>
    <row r="16" spans="1:14" x14ac:dyDescent="0.35">
      <c r="A16" t="s">
        <v>29</v>
      </c>
      <c r="B16" s="4">
        <f>J4/(((J31+J32)+(I31+I32))/2)</f>
        <v>7.7454954266183762</v>
      </c>
      <c r="C16" s="4">
        <f>K4/(((K31+K32)+(J31+J32))/2)</f>
        <v>7.5756022047420837</v>
      </c>
      <c r="D16" s="4">
        <f>L4/(((L31+L32)+(K31+K32))/2)</f>
        <v>6.9724323640591788</v>
      </c>
      <c r="E16" s="4">
        <f>M4/(((M31+M32)+(L31+L32))/2)</f>
        <v>6.9435924550633876</v>
      </c>
      <c r="F16" s="4">
        <f>N4/(((N31+N32)+(M31+M32))/2)</f>
        <v>6.8798477405366505</v>
      </c>
      <c r="H16" t="s">
        <v>30</v>
      </c>
      <c r="I16">
        <v>622.14300000000003</v>
      </c>
      <c r="J16">
        <v>557.10199999999998</v>
      </c>
      <c r="K16">
        <v>646.75800000000004</v>
      </c>
      <c r="L16">
        <v>640.98299999999995</v>
      </c>
      <c r="M16">
        <v>545.65300000000002</v>
      </c>
      <c r="N16">
        <v>575.25900000000001</v>
      </c>
    </row>
    <row r="17" spans="1:14" x14ac:dyDescent="0.35">
      <c r="A17" t="s">
        <v>31</v>
      </c>
      <c r="B17" s="4">
        <f>360/B16</f>
        <v>46.47862792130951</v>
      </c>
      <c r="C17" s="4">
        <f>360/C16</f>
        <v>47.520974606434791</v>
      </c>
      <c r="D17" s="4">
        <f>360/D16</f>
        <v>51.631909956659207</v>
      </c>
      <c r="E17" s="4">
        <f>360/E16</f>
        <v>51.84636084703989</v>
      </c>
      <c r="F17" s="4">
        <f>360/F16</f>
        <v>52.326739424602273</v>
      </c>
      <c r="H17" t="s">
        <v>32</v>
      </c>
      <c r="I17">
        <v>802.29300000000001</v>
      </c>
      <c r="J17">
        <v>769.48400000000004</v>
      </c>
      <c r="K17">
        <v>792.447</v>
      </c>
      <c r="L17">
        <v>796.39800000000002</v>
      </c>
      <c r="M17">
        <v>703.18100000000004</v>
      </c>
      <c r="N17">
        <v>731.65099999999995</v>
      </c>
    </row>
    <row r="18" spans="1:14" x14ac:dyDescent="0.35">
      <c r="A18" t="s">
        <v>33</v>
      </c>
      <c r="B18" s="4">
        <f>B13+B15-B17</f>
        <v>-33.444048178351622</v>
      </c>
      <c r="C18" s="4">
        <f>C13+C15-C17</f>
        <v>-34.45407103363258</v>
      </c>
      <c r="D18" s="4">
        <f>D13+D15-D17</f>
        <v>-41.22928642615534</v>
      </c>
      <c r="E18" s="4">
        <f>E13+E15-E17</f>
        <v>-41.617594738523735</v>
      </c>
      <c r="F18" s="4">
        <f>F13+F15-F17</f>
        <v>-42.302124803752264</v>
      </c>
      <c r="H18" t="s">
        <v>34</v>
      </c>
      <c r="I18">
        <v>359.77800000000002</v>
      </c>
      <c r="J18">
        <v>344.428</v>
      </c>
      <c r="K18">
        <v>400.536</v>
      </c>
      <c r="L18">
        <v>435.00900000000001</v>
      </c>
      <c r="M18">
        <v>402.51</v>
      </c>
      <c r="N18">
        <v>434.50900000000001</v>
      </c>
    </row>
    <row r="19" spans="1:14" x14ac:dyDescent="0.35">
      <c r="A19" t="s">
        <v>35</v>
      </c>
      <c r="H19" t="s">
        <v>36</v>
      </c>
      <c r="I19">
        <v>1218.5419999999999</v>
      </c>
      <c r="J19">
        <v>1186.23</v>
      </c>
      <c r="K19">
        <v>1126.453</v>
      </c>
      <c r="L19">
        <v>1042.181</v>
      </c>
      <c r="M19">
        <v>938.13000000000011</v>
      </c>
      <c r="N19">
        <v>945.41399999999999</v>
      </c>
    </row>
    <row r="20" spans="1:14" x14ac:dyDescent="0.35">
      <c r="A20" t="s">
        <v>37</v>
      </c>
      <c r="B20" s="4">
        <f>J17/J21</f>
        <v>0.98358987731394498</v>
      </c>
      <c r="C20" s="4">
        <f>K17/K21</f>
        <v>0.96968150715103807</v>
      </c>
      <c r="D20" s="4">
        <f>L17/L21</f>
        <v>0.92783188072833367</v>
      </c>
      <c r="E20" s="4">
        <f>M17/M21</f>
        <v>0.86528420899787006</v>
      </c>
      <c r="F20" s="4">
        <f>N17/N21</f>
        <v>0.89272218582115315</v>
      </c>
      <c r="H20" t="s">
        <v>38</v>
      </c>
      <c r="I20">
        <v>0</v>
      </c>
      <c r="J20">
        <v>0</v>
      </c>
      <c r="K20">
        <v>0</v>
      </c>
      <c r="L20">
        <v>0</v>
      </c>
      <c r="M20">
        <v>5.4189999999999996</v>
      </c>
      <c r="N20">
        <v>5.5640000000000001</v>
      </c>
    </row>
    <row r="21" spans="1:14" x14ac:dyDescent="0.35">
      <c r="A21" t="s">
        <v>39</v>
      </c>
      <c r="B21" s="4">
        <f>(J30+J29+J27)/J21</f>
        <v>0.71019477913186646</v>
      </c>
      <c r="C21" s="4">
        <f>(K30+K29+K27)/K21</f>
        <v>0.72583893767192342</v>
      </c>
      <c r="D21" s="4">
        <f>(L30+L29+L27)/L21</f>
        <v>0.65068043893874605</v>
      </c>
      <c r="E21" s="4">
        <f>(M30+M29+M27)/M21</f>
        <v>0.42670788116540881</v>
      </c>
      <c r="F21" s="4">
        <f>(N30+N29+N27)/N21</f>
        <v>0.3865659312837294</v>
      </c>
      <c r="H21" t="s">
        <v>40</v>
      </c>
      <c r="I21">
        <v>811.90200000000004</v>
      </c>
      <c r="J21">
        <v>782.322</v>
      </c>
      <c r="K21">
        <v>817.22400000000005</v>
      </c>
      <c r="L21">
        <v>858.34299999999996</v>
      </c>
      <c r="M21">
        <v>812.65899999999999</v>
      </c>
      <c r="N21">
        <v>819.57299999999998</v>
      </c>
    </row>
    <row r="22" spans="1:14" x14ac:dyDescent="0.35">
      <c r="A22" t="s">
        <v>41</v>
      </c>
      <c r="B22" s="4">
        <f>(J30+J29)/J21</f>
        <v>0.68809646155930682</v>
      </c>
      <c r="C22" s="4">
        <f>(K30+K29)/K21</f>
        <v>0.71401476217046977</v>
      </c>
      <c r="D22" s="4">
        <f>(L30+L29)/L21</f>
        <v>0.62684381418617041</v>
      </c>
      <c r="E22" s="4">
        <f>(M30+M29)/M21</f>
        <v>0.41560236212236623</v>
      </c>
      <c r="F22" s="4">
        <f>(N30+N29)/N21</f>
        <v>0.37636915808597893</v>
      </c>
      <c r="H22" t="s">
        <v>42</v>
      </c>
      <c r="I22">
        <v>858.30100000000004</v>
      </c>
      <c r="J22">
        <v>840.71</v>
      </c>
      <c r="K22">
        <v>804.69200000000001</v>
      </c>
      <c r="L22">
        <v>729.06299999999999</v>
      </c>
      <c r="M22">
        <v>640.63499999999999</v>
      </c>
      <c r="N22">
        <v>683.28899999999999</v>
      </c>
    </row>
    <row r="23" spans="1:14" x14ac:dyDescent="0.35">
      <c r="A23" t="s">
        <v>43</v>
      </c>
      <c r="H23" t="s">
        <v>44</v>
      </c>
      <c r="I23">
        <v>777.83600000000001</v>
      </c>
      <c r="J23">
        <v>714.23599999999999</v>
      </c>
      <c r="K23">
        <v>680.62900000000002</v>
      </c>
      <c r="L23">
        <v>660.40499999999997</v>
      </c>
      <c r="M23">
        <v>652.03499999999997</v>
      </c>
      <c r="N23">
        <v>668.72500000000002</v>
      </c>
    </row>
    <row r="24" spans="1:14" x14ac:dyDescent="0.35">
      <c r="A24" t="s">
        <v>45</v>
      </c>
      <c r="B24" s="4">
        <f>J20+J19</f>
        <v>1186.23</v>
      </c>
      <c r="C24" s="4">
        <f>K20+K19</f>
        <v>1126.453</v>
      </c>
      <c r="D24" s="4">
        <f>L20+L19</f>
        <v>1042.181</v>
      </c>
      <c r="E24" s="4">
        <f>M20+M19</f>
        <v>943.54900000000009</v>
      </c>
      <c r="F24" s="4">
        <f>N20+N19</f>
        <v>950.97799999999995</v>
      </c>
      <c r="H24" t="s">
        <v>46</v>
      </c>
      <c r="I24">
        <v>103.627</v>
      </c>
      <c r="J24">
        <v>110.119</v>
      </c>
      <c r="K24">
        <v>75.141000000000005</v>
      </c>
      <c r="L24">
        <v>72.549000000000007</v>
      </c>
      <c r="M24">
        <v>45.344000000000001</v>
      </c>
      <c r="N24">
        <v>28.501999999999999</v>
      </c>
    </row>
    <row r="25" spans="1:14" x14ac:dyDescent="0.35">
      <c r="A25" t="s">
        <v>47</v>
      </c>
      <c r="B25" s="4">
        <f>B24/J23</f>
        <v>1.6608375942965632</v>
      </c>
      <c r="C25" s="4">
        <f>C24/K23</f>
        <v>1.6550176380965254</v>
      </c>
      <c r="D25" s="4">
        <f>D24/L23</f>
        <v>1.5780937455046526</v>
      </c>
      <c r="E25" s="4">
        <f>E24/M23</f>
        <v>1.4470833620894585</v>
      </c>
      <c r="F25" s="4">
        <f>F24/N23</f>
        <v>1.4220763393024036</v>
      </c>
      <c r="H25" t="s">
        <v>48</v>
      </c>
      <c r="I25">
        <v>544.09899999999993</v>
      </c>
      <c r="J25">
        <v>499.37799999999999</v>
      </c>
      <c r="K25">
        <v>478.661</v>
      </c>
      <c r="L25">
        <v>500.45299999999997</v>
      </c>
      <c r="M25">
        <v>522.96600000000001</v>
      </c>
      <c r="N25">
        <v>517.59699999999998</v>
      </c>
    </row>
    <row r="26" spans="1:14" x14ac:dyDescent="0.35">
      <c r="A26" t="s">
        <v>49</v>
      </c>
      <c r="B26" s="4">
        <f>J6/J7</f>
        <v>2.4752499691396119</v>
      </c>
      <c r="C26" s="4">
        <f>K6/K7</f>
        <v>2.6298820114833741</v>
      </c>
      <c r="D26" s="4">
        <f>L6/L7</f>
        <v>2.9518371995444466</v>
      </c>
      <c r="E26" s="4">
        <f>M6/M7</f>
        <v>2.1476378537280634</v>
      </c>
      <c r="F26" s="4">
        <f>N6/N7</f>
        <v>2.581653287578896</v>
      </c>
      <c r="H26" t="s">
        <v>50</v>
      </c>
      <c r="I26">
        <v>93.456999999999994</v>
      </c>
      <c r="J26">
        <v>74.564999999999998</v>
      </c>
      <c r="K26">
        <v>104.67100000000001</v>
      </c>
      <c r="L26">
        <v>131.46199999999999</v>
      </c>
      <c r="M26">
        <v>157.654</v>
      </c>
      <c r="N26">
        <v>152.702</v>
      </c>
    </row>
    <row r="27" spans="1:14" x14ac:dyDescent="0.35">
      <c r="H27" t="s">
        <v>51</v>
      </c>
      <c r="I27">
        <v>6.0640000000000001</v>
      </c>
      <c r="J27">
        <v>17.288</v>
      </c>
      <c r="K27">
        <v>9.6630000000000003</v>
      </c>
      <c r="L27">
        <v>20.46</v>
      </c>
      <c r="M27">
        <v>9.0250000000000004</v>
      </c>
      <c r="N27">
        <v>8.3569999999999993</v>
      </c>
    </row>
    <row r="28" spans="1:14" x14ac:dyDescent="0.35">
      <c r="H28" t="s">
        <v>52</v>
      </c>
      <c r="I28">
        <v>22.111000000000001</v>
      </c>
      <c r="J28">
        <v>51.301000000000002</v>
      </c>
      <c r="K28">
        <v>17.905999999999999</v>
      </c>
      <c r="L28">
        <v>14.766</v>
      </c>
      <c r="M28">
        <v>16.122</v>
      </c>
      <c r="N28">
        <v>17.300999999999998</v>
      </c>
    </row>
    <row r="29" spans="1:14" x14ac:dyDescent="0.35">
      <c r="H29" t="s">
        <v>53</v>
      </c>
      <c r="I29">
        <v>375.64100000000002</v>
      </c>
      <c r="J29">
        <v>305.09699999999998</v>
      </c>
      <c r="K29">
        <v>496.26100000000002</v>
      </c>
      <c r="L29">
        <v>487.512</v>
      </c>
      <c r="M29">
        <v>167.33799999999999</v>
      </c>
      <c r="N29">
        <v>270.40899999999999</v>
      </c>
    </row>
    <row r="30" spans="1:14" x14ac:dyDescent="0.35">
      <c r="H30" t="s">
        <v>54</v>
      </c>
      <c r="I30">
        <v>239.68</v>
      </c>
      <c r="J30">
        <v>233.21600000000001</v>
      </c>
      <c r="K30">
        <v>87.248999999999995</v>
      </c>
      <c r="L30">
        <v>50.534999999999997</v>
      </c>
      <c r="M30">
        <v>170.405</v>
      </c>
      <c r="N30">
        <v>38.052999999999997</v>
      </c>
    </row>
    <row r="31" spans="1:14" x14ac:dyDescent="0.35">
      <c r="H31" t="s">
        <v>55</v>
      </c>
      <c r="I31">
        <v>326.63400000000001</v>
      </c>
      <c r="J31">
        <v>320.34699999999998</v>
      </c>
      <c r="K31">
        <v>376.66399999999999</v>
      </c>
      <c r="L31">
        <v>413.28899999999999</v>
      </c>
      <c r="M31">
        <v>378.03100000000001</v>
      </c>
      <c r="N31">
        <v>400.3</v>
      </c>
    </row>
    <row r="32" spans="1:14" x14ac:dyDescent="0.35">
      <c r="H32" t="s">
        <v>56</v>
      </c>
      <c r="I32">
        <v>22.353000000000002</v>
      </c>
      <c r="J32">
        <v>17.356999999999999</v>
      </c>
      <c r="K32">
        <v>16.239000000000001</v>
      </c>
      <c r="L32">
        <v>16.004000000000001</v>
      </c>
      <c r="M32">
        <v>17.282</v>
      </c>
      <c r="N32">
        <v>27.193000000000001</v>
      </c>
    </row>
    <row r="33" spans="1:1" x14ac:dyDescent="0.35">
      <c r="A33" s="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iWS-14</cp:lastModifiedBy>
  <dcterms:created xsi:type="dcterms:W3CDTF">2026-09-02T02:20:46Z</dcterms:created>
  <dcterms:modified xsi:type="dcterms:W3CDTF">2026-09-02T02:21:44Z</dcterms:modified>
</cp:coreProperties>
</file>