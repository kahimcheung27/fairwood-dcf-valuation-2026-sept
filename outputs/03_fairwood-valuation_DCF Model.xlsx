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job 242\251\poj2\python\26aug\"/>
    </mc:Choice>
  </mc:AlternateContent>
  <xr:revisionPtr revIDLastSave="0" documentId="13_ncr:1_{CFE63920-C62D-42FC-A454-ED859E53DFEE}" xr6:coauthVersionLast="47" xr6:coauthVersionMax="47" xr10:uidLastSave="{00000000-0000-0000-0000-000000000000}"/>
  <bookViews>
    <workbookView xWindow="-110" yWindow="-110" windowWidth="38620" windowHeight="21100" xr2:uid="{00000000-000D-0000-FFFF-FFFF00000000}"/>
  </bookViews>
  <sheets>
    <sheet name="3 Statement Model" sheetId="13" r:id="rId1"/>
    <sheet name="Comparable Company Analysis" sheetId="8" r:id="rId2"/>
    <sheet name="DCF" sheetId="2" r:id="rId3"/>
    <sheet name="Assumptions" sheetId="10" r:id="rId4"/>
    <sheet name="Risk-free Rate" sheetId="9" r:id="rId5"/>
  </sheets>
  <externalReferences>
    <externalReference r:id="rId6"/>
  </externalReferences>
  <definedNames>
    <definedName name="ASOFDATE">#REF!</definedName>
    <definedName name="Period">[1]Data!$K$2:$K$5</definedName>
    <definedName name="TICK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9" i="2" l="1"/>
  <c r="G64" i="2"/>
  <c r="B30" i="2" l="1"/>
  <c r="R21" i="8" l="1"/>
  <c r="S21" i="8"/>
  <c r="T21" i="8"/>
  <c r="U21" i="8"/>
  <c r="V21" i="8"/>
  <c r="R22" i="8"/>
  <c r="S22" i="8"/>
  <c r="T22" i="8"/>
  <c r="U22" i="8"/>
  <c r="V22" i="8"/>
  <c r="R24" i="8"/>
  <c r="S24" i="8"/>
  <c r="T24" i="8"/>
  <c r="U24" i="8"/>
  <c r="V24" i="8"/>
  <c r="S20" i="8"/>
  <c r="T20" i="8"/>
  <c r="U20" i="8"/>
  <c r="V20" i="8"/>
  <c r="R20" i="8"/>
  <c r="J32" i="13" l="1"/>
  <c r="K32" i="13"/>
  <c r="L32" i="13"/>
  <c r="M32" i="13"/>
  <c r="N32" i="13"/>
  <c r="O32" i="13"/>
  <c r="J16" i="13"/>
  <c r="K16" i="13"/>
  <c r="L16" i="13"/>
  <c r="M16" i="13"/>
  <c r="N16" i="13"/>
  <c r="O16" i="13"/>
  <c r="B61" i="2" l="1"/>
  <c r="C61" i="2" s="1"/>
  <c r="B60" i="2"/>
  <c r="C62" i="2" s="1"/>
  <c r="B63" i="2"/>
  <c r="B62" i="2"/>
  <c r="C4" i="10"/>
  <c r="B28" i="2"/>
  <c r="E9" i="9"/>
  <c r="C60" i="2" l="1"/>
  <c r="D60" i="2" s="1"/>
  <c r="E60" i="2" s="1"/>
  <c r="F60" i="2" s="1"/>
  <c r="G60" i="2" s="1"/>
  <c r="D63" i="2"/>
  <c r="D61" i="2"/>
  <c r="C63" i="2"/>
  <c r="I10" i="2"/>
  <c r="I6" i="2"/>
  <c r="I5" i="2"/>
  <c r="Q38" i="8"/>
  <c r="P38" i="8"/>
  <c r="O38" i="8"/>
  <c r="N38" i="8"/>
  <c r="M38" i="8"/>
  <c r="G38" i="8"/>
  <c r="L38" i="8" s="1"/>
  <c r="F38" i="8"/>
  <c r="K38" i="8" s="1"/>
  <c r="E38" i="8"/>
  <c r="J38" i="8" s="1"/>
  <c r="D38" i="8"/>
  <c r="I38" i="8" s="1"/>
  <c r="C38" i="8"/>
  <c r="H38" i="8" s="1"/>
  <c r="Q30" i="8"/>
  <c r="P30" i="8"/>
  <c r="O30" i="8"/>
  <c r="N30" i="8"/>
  <c r="M30" i="8"/>
  <c r="L30" i="8"/>
  <c r="K30" i="8"/>
  <c r="J30" i="8"/>
  <c r="I30" i="8"/>
  <c r="H30" i="8"/>
  <c r="G30" i="8"/>
  <c r="F30" i="8"/>
  <c r="E30" i="8"/>
  <c r="D30" i="8"/>
  <c r="C30" i="8"/>
  <c r="AA22" i="8"/>
  <c r="AF22" i="8" s="1"/>
  <c r="Z22" i="8"/>
  <c r="AE22" i="8" s="1"/>
  <c r="Y22" i="8"/>
  <c r="AD22" i="8" s="1"/>
  <c r="X22" i="8"/>
  <c r="AC22" i="8" s="1"/>
  <c r="W22" i="8"/>
  <c r="AB22" i="8" s="1"/>
  <c r="Q22" i="8"/>
  <c r="P22" i="8"/>
  <c r="O22" i="8"/>
  <c r="N22" i="8"/>
  <c r="M22" i="8"/>
  <c r="G22" i="8"/>
  <c r="L22" i="8" s="1"/>
  <c r="F22" i="8"/>
  <c r="K22" i="8" s="1"/>
  <c r="E22" i="8"/>
  <c r="D22" i="8"/>
  <c r="C22" i="8"/>
  <c r="Q14" i="8"/>
  <c r="P14" i="8"/>
  <c r="O14" i="8"/>
  <c r="N14" i="8"/>
  <c r="M14" i="8"/>
  <c r="L14" i="8"/>
  <c r="K14" i="8"/>
  <c r="J14" i="8"/>
  <c r="I14" i="8"/>
  <c r="H14" i="8"/>
  <c r="G14" i="8"/>
  <c r="F14" i="8"/>
  <c r="E14" i="8"/>
  <c r="D14" i="8"/>
  <c r="C14" i="8"/>
  <c r="Q6" i="8"/>
  <c r="P6" i="8"/>
  <c r="O6" i="8"/>
  <c r="N6" i="8"/>
  <c r="M6" i="8"/>
  <c r="L6" i="8"/>
  <c r="K6" i="8"/>
  <c r="J6" i="8"/>
  <c r="I6" i="8"/>
  <c r="H6" i="8"/>
  <c r="G6" i="8"/>
  <c r="F6" i="8"/>
  <c r="E6" i="8"/>
  <c r="D6" i="8"/>
  <c r="C6" i="8"/>
  <c r="Q40" i="8"/>
  <c r="P40" i="8"/>
  <c r="O40" i="8"/>
  <c r="N40" i="8"/>
  <c r="M40" i="8"/>
  <c r="G40" i="8"/>
  <c r="L40" i="8" s="1"/>
  <c r="F40" i="8"/>
  <c r="K40" i="8" s="1"/>
  <c r="E40" i="8"/>
  <c r="J40" i="8" s="1"/>
  <c r="D40" i="8"/>
  <c r="I40" i="8" s="1"/>
  <c r="C40" i="8"/>
  <c r="H40" i="8" s="1"/>
  <c r="Q32" i="8"/>
  <c r="P32" i="8"/>
  <c r="O32" i="8"/>
  <c r="N32" i="8"/>
  <c r="M32" i="8"/>
  <c r="L32" i="8"/>
  <c r="K32" i="8"/>
  <c r="J32" i="8"/>
  <c r="I32" i="8"/>
  <c r="H32" i="8"/>
  <c r="G32" i="8"/>
  <c r="F32" i="8"/>
  <c r="E32" i="8"/>
  <c r="D32" i="8"/>
  <c r="C32" i="8"/>
  <c r="AA24" i="8"/>
  <c r="AF24" i="8" s="1"/>
  <c r="Z24" i="8"/>
  <c r="AE24" i="8" s="1"/>
  <c r="Y24" i="8"/>
  <c r="AD24" i="8" s="1"/>
  <c r="X24" i="8"/>
  <c r="AC24" i="8" s="1"/>
  <c r="W24" i="8"/>
  <c r="AB24" i="8" s="1"/>
  <c r="Q24" i="8"/>
  <c r="P24" i="8"/>
  <c r="O24" i="8"/>
  <c r="N24" i="8"/>
  <c r="M24" i="8"/>
  <c r="G24" i="8"/>
  <c r="F24" i="8"/>
  <c r="E24" i="8"/>
  <c r="D24" i="8"/>
  <c r="C24" i="8"/>
  <c r="Q16" i="8"/>
  <c r="P16" i="8"/>
  <c r="O16" i="8"/>
  <c r="N16" i="8"/>
  <c r="M16" i="8"/>
  <c r="L16" i="8"/>
  <c r="K16" i="8"/>
  <c r="J16" i="8"/>
  <c r="I16" i="8"/>
  <c r="H16" i="8"/>
  <c r="G16" i="8"/>
  <c r="F16" i="8"/>
  <c r="E16" i="8"/>
  <c r="D16" i="8"/>
  <c r="C16" i="8"/>
  <c r="Q8" i="8"/>
  <c r="P8" i="8"/>
  <c r="O8" i="8"/>
  <c r="N8" i="8"/>
  <c r="M8" i="8"/>
  <c r="L8" i="8"/>
  <c r="K8" i="8"/>
  <c r="J8" i="8"/>
  <c r="I8" i="8"/>
  <c r="H8" i="8"/>
  <c r="G8" i="8"/>
  <c r="F8" i="8"/>
  <c r="E8" i="8"/>
  <c r="D8" i="8"/>
  <c r="C8" i="8"/>
  <c r="Q39" i="8"/>
  <c r="P39" i="8"/>
  <c r="O39" i="8"/>
  <c r="N39" i="8"/>
  <c r="M39" i="8"/>
  <c r="G39" i="8"/>
  <c r="L39" i="8" s="1"/>
  <c r="F39" i="8"/>
  <c r="K39" i="8" s="1"/>
  <c r="E39" i="8"/>
  <c r="J39" i="8" s="1"/>
  <c r="D39" i="8"/>
  <c r="I39" i="8" s="1"/>
  <c r="C39" i="8"/>
  <c r="H39" i="8" s="1"/>
  <c r="Q31" i="8"/>
  <c r="P31" i="8"/>
  <c r="O31" i="8"/>
  <c r="N31" i="8"/>
  <c r="M31" i="8"/>
  <c r="L31" i="8"/>
  <c r="K31" i="8"/>
  <c r="J31" i="8"/>
  <c r="I31" i="8"/>
  <c r="H31" i="8"/>
  <c r="G31" i="8"/>
  <c r="F31" i="8"/>
  <c r="E31" i="8"/>
  <c r="D31" i="8"/>
  <c r="C31" i="8"/>
  <c r="AF23" i="8"/>
  <c r="AE23" i="8"/>
  <c r="AD23" i="8"/>
  <c r="AC23" i="8"/>
  <c r="AB23" i="8"/>
  <c r="AA23" i="8"/>
  <c r="Z23" i="8"/>
  <c r="Y23" i="8"/>
  <c r="X23" i="8"/>
  <c r="W23" i="8"/>
  <c r="Q23" i="8"/>
  <c r="P23" i="8"/>
  <c r="O23" i="8"/>
  <c r="N23" i="8"/>
  <c r="M23" i="8"/>
  <c r="G23" i="8"/>
  <c r="L23" i="8" s="1"/>
  <c r="F23" i="8"/>
  <c r="K23" i="8" s="1"/>
  <c r="E23" i="8"/>
  <c r="D23" i="8"/>
  <c r="C23" i="8"/>
  <c r="Q15" i="8"/>
  <c r="P15" i="8"/>
  <c r="O15" i="8"/>
  <c r="N15" i="8"/>
  <c r="M15" i="8"/>
  <c r="L15" i="8"/>
  <c r="K15" i="8"/>
  <c r="J15" i="8"/>
  <c r="I15" i="8"/>
  <c r="H15" i="8"/>
  <c r="G15" i="8"/>
  <c r="F15" i="8"/>
  <c r="E15" i="8"/>
  <c r="D15" i="8"/>
  <c r="C15" i="8"/>
  <c r="Q7" i="8"/>
  <c r="P7" i="8"/>
  <c r="O7" i="8"/>
  <c r="N7" i="8"/>
  <c r="M7" i="8"/>
  <c r="L7" i="8"/>
  <c r="K7" i="8"/>
  <c r="J7" i="8"/>
  <c r="I7" i="8"/>
  <c r="H7" i="8"/>
  <c r="G7" i="8"/>
  <c r="F7" i="8"/>
  <c r="E7" i="8"/>
  <c r="D7" i="8"/>
  <c r="C7" i="8"/>
  <c r="Q37" i="8"/>
  <c r="P37" i="8"/>
  <c r="O37" i="8"/>
  <c r="N37" i="8"/>
  <c r="M37" i="8"/>
  <c r="G37" i="8"/>
  <c r="L37" i="8" s="1"/>
  <c r="F37" i="8"/>
  <c r="K37" i="8" s="1"/>
  <c r="E37" i="8"/>
  <c r="J37" i="8" s="1"/>
  <c r="D37" i="8"/>
  <c r="I37" i="8" s="1"/>
  <c r="C37" i="8"/>
  <c r="H37" i="8" s="1"/>
  <c r="Q29" i="8"/>
  <c r="P29" i="8"/>
  <c r="O29" i="8"/>
  <c r="N29" i="8"/>
  <c r="M29" i="8"/>
  <c r="L29" i="8"/>
  <c r="K29" i="8"/>
  <c r="J29" i="8"/>
  <c r="I29" i="8"/>
  <c r="H29" i="8"/>
  <c r="G29" i="8"/>
  <c r="F29" i="8"/>
  <c r="E29" i="8"/>
  <c r="D29" i="8"/>
  <c r="C29" i="8"/>
  <c r="AA21" i="8"/>
  <c r="AF21" i="8" s="1"/>
  <c r="Z21" i="8"/>
  <c r="AE21" i="8" s="1"/>
  <c r="Y21" i="8"/>
  <c r="AD21" i="8" s="1"/>
  <c r="X21" i="8"/>
  <c r="AC21" i="8" s="1"/>
  <c r="W21" i="8"/>
  <c r="AB21" i="8" s="1"/>
  <c r="Q21" i="8"/>
  <c r="P21" i="8"/>
  <c r="O21" i="8"/>
  <c r="N21" i="8"/>
  <c r="M21" i="8"/>
  <c r="G21" i="8"/>
  <c r="F21" i="8"/>
  <c r="E21" i="8"/>
  <c r="D21" i="8"/>
  <c r="C21" i="8"/>
  <c r="Q13" i="8"/>
  <c r="P13" i="8"/>
  <c r="O13" i="8"/>
  <c r="N13" i="8"/>
  <c r="M13" i="8"/>
  <c r="L13" i="8"/>
  <c r="K13" i="8"/>
  <c r="J13" i="8"/>
  <c r="I13" i="8"/>
  <c r="H13" i="8"/>
  <c r="G13" i="8"/>
  <c r="F13" i="8"/>
  <c r="E13" i="8"/>
  <c r="D13" i="8"/>
  <c r="C13" i="8"/>
  <c r="Q5" i="8"/>
  <c r="P5" i="8"/>
  <c r="O5" i="8"/>
  <c r="N5" i="8"/>
  <c r="M5" i="8"/>
  <c r="L5" i="8"/>
  <c r="K5" i="8"/>
  <c r="J5" i="8"/>
  <c r="I5" i="8"/>
  <c r="H5" i="8"/>
  <c r="G5" i="8"/>
  <c r="F5" i="8"/>
  <c r="E5" i="8"/>
  <c r="D5" i="8"/>
  <c r="C5" i="8"/>
  <c r="Q36" i="8"/>
  <c r="P36" i="8"/>
  <c r="O36" i="8"/>
  <c r="N36" i="8"/>
  <c r="M36" i="8"/>
  <c r="G36" i="8"/>
  <c r="L36" i="8" s="1"/>
  <c r="B31" i="2" s="1"/>
  <c r="F36" i="8"/>
  <c r="K36" i="8" s="1"/>
  <c r="E36" i="8"/>
  <c r="J36" i="8" s="1"/>
  <c r="D36" i="8"/>
  <c r="I36" i="8" s="1"/>
  <c r="C36" i="8"/>
  <c r="H36" i="8" s="1"/>
  <c r="Q28" i="8"/>
  <c r="P28" i="8"/>
  <c r="O28" i="8"/>
  <c r="N28" i="8"/>
  <c r="M28" i="8"/>
  <c r="L28" i="8"/>
  <c r="K28" i="8"/>
  <c r="J28" i="8"/>
  <c r="I28" i="8"/>
  <c r="H28" i="8"/>
  <c r="G28" i="8"/>
  <c r="F28" i="8"/>
  <c r="E28" i="8"/>
  <c r="D28" i="8"/>
  <c r="C28" i="8"/>
  <c r="AA20" i="8"/>
  <c r="AF20" i="8" s="1"/>
  <c r="Z20" i="8"/>
  <c r="AE20" i="8" s="1"/>
  <c r="Y20" i="8"/>
  <c r="AD20" i="8" s="1"/>
  <c r="X20" i="8"/>
  <c r="AC20" i="8" s="1"/>
  <c r="W20" i="8"/>
  <c r="AB20" i="8" s="1"/>
  <c r="Q20" i="8"/>
  <c r="P20" i="8"/>
  <c r="O20" i="8"/>
  <c r="N20" i="8"/>
  <c r="M20" i="8"/>
  <c r="G20" i="8"/>
  <c r="F20" i="8"/>
  <c r="E20" i="8"/>
  <c r="D20" i="8"/>
  <c r="C20" i="8"/>
  <c r="Q12" i="8"/>
  <c r="P12" i="8"/>
  <c r="O12" i="8"/>
  <c r="N12" i="8"/>
  <c r="M12" i="8"/>
  <c r="L12" i="8"/>
  <c r="K12" i="8"/>
  <c r="J12" i="8"/>
  <c r="I12" i="8"/>
  <c r="H12" i="8"/>
  <c r="G12" i="8"/>
  <c r="F12" i="8"/>
  <c r="E12" i="8"/>
  <c r="D12" i="8"/>
  <c r="C12" i="8"/>
  <c r="Q4" i="8"/>
  <c r="P4" i="8"/>
  <c r="O4" i="8"/>
  <c r="N4" i="8"/>
  <c r="M4" i="8"/>
  <c r="L4" i="8"/>
  <c r="K4" i="8"/>
  <c r="J4" i="8"/>
  <c r="I4" i="8"/>
  <c r="H4" i="8"/>
  <c r="G4" i="8"/>
  <c r="F4" i="8"/>
  <c r="E4" i="8"/>
  <c r="D4" i="8"/>
  <c r="C4" i="8"/>
  <c r="B4" i="2"/>
  <c r="B3" i="2"/>
  <c r="B22" i="2" l="1"/>
  <c r="B23" i="2" s="1"/>
  <c r="E63" i="2"/>
  <c r="E61" i="2"/>
  <c r="B40" i="2"/>
  <c r="B41" i="2" s="1"/>
  <c r="C9" i="10"/>
  <c r="AJ23" i="8"/>
  <c r="AK23" i="8"/>
  <c r="AJ22" i="8"/>
  <c r="H21" i="8"/>
  <c r="AG21" i="8" s="1"/>
  <c r="I21" i="8"/>
  <c r="AH21" i="8" s="1"/>
  <c r="J21" i="8"/>
  <c r="AI21" i="8" s="1"/>
  <c r="AK22" i="8"/>
  <c r="K21" i="8"/>
  <c r="AJ21" i="8" s="1"/>
  <c r="J22" i="8"/>
  <c r="AI22" i="8" s="1"/>
  <c r="H22" i="8"/>
  <c r="AG22" i="8" s="1"/>
  <c r="I22" i="8"/>
  <c r="AH22" i="8" s="1"/>
  <c r="J24" i="8"/>
  <c r="AI24" i="8" s="1"/>
  <c r="I24" i="8"/>
  <c r="AH24" i="8" s="1"/>
  <c r="K24" i="8"/>
  <c r="AJ24" i="8" s="1"/>
  <c r="H24" i="8"/>
  <c r="AG24" i="8" s="1"/>
  <c r="L24" i="8"/>
  <c r="AK24" i="8" s="1"/>
  <c r="I23" i="8"/>
  <c r="AH23" i="8" s="1"/>
  <c r="J23" i="8"/>
  <c r="AI23" i="8" s="1"/>
  <c r="H23" i="8"/>
  <c r="AG23" i="8" s="1"/>
  <c r="L21" i="8"/>
  <c r="AK21" i="8" s="1"/>
  <c r="J20" i="8"/>
  <c r="AI20" i="8" s="1"/>
  <c r="K20" i="8"/>
  <c r="AJ20" i="8" s="1"/>
  <c r="L20" i="8"/>
  <c r="AK20" i="8" s="1"/>
  <c r="H20" i="8"/>
  <c r="AG20" i="8" s="1"/>
  <c r="I20" i="8"/>
  <c r="AH20" i="8" s="1"/>
  <c r="B33" i="2"/>
  <c r="B10" i="2"/>
  <c r="B5" i="2"/>
  <c r="B6" i="2"/>
  <c r="C4" i="2"/>
  <c r="D62" i="2"/>
  <c r="C3" i="2"/>
  <c r="F61" i="2" l="1"/>
  <c r="F63" i="2"/>
  <c r="C5" i="2"/>
  <c r="C10" i="2"/>
  <c r="C6" i="2"/>
  <c r="D4" i="2"/>
  <c r="D3" i="2"/>
  <c r="E62" i="2"/>
  <c r="B7" i="2"/>
  <c r="G61" i="2" l="1"/>
  <c r="G63" i="2"/>
  <c r="C7" i="2"/>
  <c r="C8" i="2" s="1"/>
  <c r="C9" i="2" s="1"/>
  <c r="C11" i="2" s="1"/>
  <c r="D10" i="2"/>
  <c r="D5" i="2"/>
  <c r="D6" i="2"/>
  <c r="E4" i="2"/>
  <c r="F62" i="2"/>
  <c r="E3" i="2"/>
  <c r="B8" i="2"/>
  <c r="B9" i="2" s="1"/>
  <c r="B11" i="2" s="1"/>
  <c r="E5" i="2" l="1"/>
  <c r="E6" i="2"/>
  <c r="E10" i="2"/>
  <c r="F4" i="2"/>
  <c r="G62" i="2"/>
  <c r="F3" i="2"/>
  <c r="D7" i="2"/>
  <c r="B24" i="2" l="1"/>
  <c r="F6" i="2"/>
  <c r="F5" i="2"/>
  <c r="F10" i="2"/>
  <c r="G4" i="2"/>
  <c r="G3" i="2"/>
  <c r="D8" i="2"/>
  <c r="D9" i="2" s="1"/>
  <c r="D11" i="2" s="1"/>
  <c r="E7" i="2"/>
  <c r="B29" i="2" l="1"/>
  <c r="C6" i="10" s="1"/>
  <c r="B35" i="2"/>
  <c r="C5" i="10" s="1"/>
  <c r="C12" i="10"/>
  <c r="F7" i="2"/>
  <c r="F8" i="2" s="1"/>
  <c r="F9" i="2" s="1"/>
  <c r="F11" i="2" s="1"/>
  <c r="B25" i="2"/>
  <c r="C8" i="10" s="1"/>
  <c r="G6" i="2"/>
  <c r="G10" i="2"/>
  <c r="G5" i="2"/>
  <c r="E8" i="2"/>
  <c r="E9" i="2" s="1"/>
  <c r="E11" i="2" s="1"/>
  <c r="C11" i="10"/>
  <c r="B36" i="2" l="1"/>
  <c r="G7" i="2"/>
  <c r="G8" i="2" s="1"/>
  <c r="G9" i="2" s="1"/>
  <c r="G11" i="2" s="1"/>
  <c r="C7" i="10" l="1"/>
  <c r="M68" i="2"/>
  <c r="O68" i="2"/>
  <c r="P68" i="2"/>
  <c r="L68" i="2"/>
  <c r="N68" i="2"/>
  <c r="B14" i="2"/>
  <c r="C14" i="2"/>
  <c r="D14" i="2"/>
  <c r="E14" i="2"/>
  <c r="F14" i="2"/>
  <c r="G14" i="2"/>
  <c r="C10" i="10"/>
  <c r="G15" i="2" l="1"/>
  <c r="C68" i="2" l="1"/>
  <c r="K70" i="2"/>
</calcChain>
</file>

<file path=xl/sharedStrings.xml><?xml version="1.0" encoding="utf-8"?>
<sst xmlns="http://schemas.openxmlformats.org/spreadsheetml/2006/main" count="561" uniqueCount="220">
  <si>
    <t>Revenue</t>
  </si>
  <si>
    <t>COGS</t>
  </si>
  <si>
    <t>Gross Profit</t>
  </si>
  <si>
    <t>EBIT</t>
  </si>
  <si>
    <t>Inventories</t>
  </si>
  <si>
    <t>Depreciation &amp; Amortisation</t>
  </si>
  <si>
    <t>Capex - PPE Additions</t>
  </si>
  <si>
    <t>Cost of debt</t>
  </si>
  <si>
    <t>Bank borrowings</t>
  </si>
  <si>
    <t>https://pages.stern.nyu.edu/~adamodar/New_Home_Page/datacurrent.html</t>
  </si>
  <si>
    <t>Financial Variables (in $ millions)</t>
  </si>
  <si>
    <t>Dupont Analysis</t>
  </si>
  <si>
    <t>Net Income Margin</t>
  </si>
  <si>
    <t>Asset Turnover</t>
  </si>
  <si>
    <t>Equity Multiplier</t>
  </si>
  <si>
    <t>Profitability Analysis</t>
  </si>
  <si>
    <t>Finance Cost</t>
  </si>
  <si>
    <t>Return on Equity</t>
  </si>
  <si>
    <t>EBT</t>
  </si>
  <si>
    <t>Return on Assets</t>
  </si>
  <si>
    <t>Income Tax</t>
  </si>
  <si>
    <t>Net Profit - after Non-controlling Interest</t>
  </si>
  <si>
    <t>EBITDA Margin</t>
  </si>
  <si>
    <t>PPE</t>
  </si>
  <si>
    <t>Deferred tax assets</t>
  </si>
  <si>
    <t>Total Non-current assets</t>
  </si>
  <si>
    <t>Receivables</t>
  </si>
  <si>
    <t>Cash at Year End</t>
  </si>
  <si>
    <t>AR Turnover</t>
  </si>
  <si>
    <t>Total Current assets</t>
  </si>
  <si>
    <t>Days' AR</t>
  </si>
  <si>
    <t>Payables</t>
  </si>
  <si>
    <t>Inventory Turnover</t>
  </si>
  <si>
    <t>Lease Liabilities</t>
  </si>
  <si>
    <t>Days' Inventory</t>
  </si>
  <si>
    <t>AP Turnover</t>
  </si>
  <si>
    <t>Total Current liabilities</t>
  </si>
  <si>
    <t>Days' AP</t>
  </si>
  <si>
    <t>Total Non-current liabilities</t>
  </si>
  <si>
    <t>Cash Conversion Cycle</t>
  </si>
  <si>
    <t>Total equity - after Non-controlling Interest</t>
  </si>
  <si>
    <t>Dividends paid</t>
  </si>
  <si>
    <t>Trade Receivables</t>
  </si>
  <si>
    <t>Liquidity Analysis</t>
  </si>
  <si>
    <t>Other Receivables</t>
  </si>
  <si>
    <t>Current ratio</t>
  </si>
  <si>
    <t>Bank Deposits (&lt; 3 months)</t>
  </si>
  <si>
    <t>Quick ratio</t>
  </si>
  <si>
    <t>Cash &amp; Cash Equivalents</t>
  </si>
  <si>
    <t>Cash ratio</t>
  </si>
  <si>
    <t>Trade Payables</t>
  </si>
  <si>
    <t>Other Payables</t>
  </si>
  <si>
    <t>Total Debt</t>
  </si>
  <si>
    <t>Debt-to-equity Ratio</t>
  </si>
  <si>
    <t>Interest Coverage Ratio</t>
  </si>
  <si>
    <t>Effective Tax Rate</t>
  </si>
  <si>
    <t>Finance Income</t>
  </si>
  <si>
    <t>Net Profit - before Non-controlling Interest</t>
  </si>
  <si>
    <t>Total equity - before Non-controlling Interest</t>
  </si>
  <si>
    <t>0052.HK</t>
  </si>
  <si>
    <t>1314.HK</t>
  </si>
  <si>
    <t>1978.HK</t>
  </si>
  <si>
    <t>6811.HK</t>
  </si>
  <si>
    <t>Stock</t>
  </si>
  <si>
    <t>0341.HK</t>
  </si>
  <si>
    <t>Financial Ratio Analysis</t>
  </si>
  <si>
    <t>Date</t>
  </si>
  <si>
    <t>Yield</t>
    <phoneticPr fontId="2" type="noConversion"/>
  </si>
  <si>
    <t>https://www.investing.com/rates-bonds/hong-kong-10-year-bond-yield-historical-data</t>
    <phoneticPr fontId="2" type="noConversion"/>
  </si>
  <si>
    <t xml:space="preserve">Average </t>
  </si>
  <si>
    <t>Cost of Equity</t>
  </si>
  <si>
    <t>Parameter</t>
  </si>
  <si>
    <t>Value</t>
  </si>
  <si>
    <t>Explanation</t>
  </si>
  <si>
    <t>Risk-Free Rate</t>
  </si>
  <si>
    <t>Beta</t>
  </si>
  <si>
    <t>Equity Risk Premium (ERP)</t>
  </si>
  <si>
    <t>Terminal Growth Rate</t>
  </si>
  <si>
    <t>EBITDA</t>
  </si>
  <si>
    <t>Depreciation and Amortisation</t>
  </si>
  <si>
    <t>Tax Rate</t>
  </si>
  <si>
    <t xml:space="preserve"> </t>
  </si>
  <si>
    <t>Capital Expenditure</t>
  </si>
  <si>
    <t>Weighted-Average Cost of Capital</t>
  </si>
  <si>
    <t>Year 1</t>
  </si>
  <si>
    <t>Year 2</t>
  </si>
  <si>
    <t>Year 3</t>
  </si>
  <si>
    <t>Year 4</t>
  </si>
  <si>
    <t>Year 5</t>
  </si>
  <si>
    <t>Cost of Debt (after-tax)</t>
  </si>
  <si>
    <t>Risk-Free Rate Hong Kong Government 10-year Bond Yield (Monthly, September 2016 – August 2026)</t>
  </si>
  <si>
    <t>The average of Hong Kong Government 10-year Bond (Monthly, September 2016 – August 2026)</t>
  </si>
  <si>
    <t>Derived from the Capital Asset Pricing Model.</t>
  </si>
  <si>
    <t>The debt portion includes bank borrowings and lease liabilities in the year end 31 Mar 2026. The equity portion is the equity after considering the non-controlling interest in the year end 31 Mar 2026.</t>
  </si>
  <si>
    <t>Derived from the WACC Formula from the Cost of Equity and Cost of Debt, the weighting of Debt and Equity are according to the proportion of Debt and Equity defined in the calculation of Debt-to-equity Ratio in the year ended 31 Mar 2026.</t>
  </si>
  <si>
    <t>Determined by the weighting of the revenue from Hong Kong and China operating segments estimated in the terminal year, where the tax rate in Hong Kong and China are 16.5% and 25% respectively. For the tax rate in the first 5 years forecasted in the DCF model, the tax rate is determined by the weighting of the revenue from Hong Kong and China operating segments estimated in each of the years.</t>
  </si>
  <si>
    <t>Revenue (Hong Kong segment)</t>
  </si>
  <si>
    <t>Revenue (China segment)</t>
  </si>
  <si>
    <t>Income tax</t>
  </si>
  <si>
    <t>After-tax Income</t>
  </si>
  <si>
    <t>Free Cash Flow to debt and equity</t>
  </si>
  <si>
    <t>Discounted Free Cash Flow</t>
  </si>
  <si>
    <t>Terminal Value</t>
  </si>
  <si>
    <t>Value of the Firm</t>
  </si>
  <si>
    <t>in millions HKD</t>
  </si>
  <si>
    <t>DCF Model</t>
  </si>
  <si>
    <t>Pre-tax Cost of Debt</t>
  </si>
  <si>
    <t>After-tax Cost of Debt</t>
  </si>
  <si>
    <t>Risk Free Rate</t>
  </si>
  <si>
    <t>HK ERP</t>
  </si>
  <si>
    <t>China ERP</t>
  </si>
  <si>
    <t>Effective Tax Rate in the year ended 31 Mar 2026</t>
  </si>
  <si>
    <t>Equity Beta</t>
  </si>
  <si>
    <t>Asset Beta</t>
  </si>
  <si>
    <t>Damodoran's Asset Beta</t>
  </si>
  <si>
    <t>Relevered Equity Beta</t>
  </si>
  <si>
    <t>WACC Debt proportion</t>
  </si>
  <si>
    <t>WACC Equity proportion</t>
  </si>
  <si>
    <t>WACC</t>
  </si>
  <si>
    <t>Interest expense on lease liabilities (31 Mar 2026)</t>
  </si>
  <si>
    <t>Interest expense on bank borrowings (31 Mar 2026)</t>
  </si>
  <si>
    <t>Total Debt (31 Mar 2026)</t>
  </si>
  <si>
    <t>Number of shops</t>
  </si>
  <si>
    <t>Number of shops in Hong Kong</t>
  </si>
  <si>
    <t>Number of shops in China</t>
  </si>
  <si>
    <t>Number of shops in total</t>
  </si>
  <si>
    <t>Assume the number of stores shutted down in each year is 70% of the new stores openned in each year.</t>
  </si>
  <si>
    <t>China</t>
  </si>
  <si>
    <t>Hong Kong</t>
  </si>
  <si>
    <t>Inflation Rate estimated by International Monetary Fund</t>
  </si>
  <si>
    <t>Assume the Inflation Rate after 31-Dec-28 are the same as on 31-Dec-28</t>
  </si>
  <si>
    <t>Number of stores to be opened in Hong Kong</t>
  </si>
  <si>
    <t>Number of stores to be opened in China</t>
  </si>
  <si>
    <t>Estimated number of stores in Hong Kong</t>
  </si>
  <si>
    <t>Estimated number of stores in China</t>
  </si>
  <si>
    <t>Percentage of the stores to be shutted down, compared with the number of new stores</t>
  </si>
  <si>
    <t>Year</t>
  </si>
  <si>
    <t>Terminal</t>
  </si>
  <si>
    <t>Growth Rate (Hong Kong segment)</t>
  </si>
  <si>
    <t>Growth Rate (China segment)</t>
  </si>
  <si>
    <t>Growth Rate</t>
  </si>
  <si>
    <t>Cost of sales</t>
  </si>
  <si>
    <t>Gross profit</t>
  </si>
  <si>
    <t>Selling expenses</t>
  </si>
  <si>
    <t>Administrative expenses</t>
  </si>
  <si>
    <t>Finance costs</t>
  </si>
  <si>
    <t>Profit before taxation</t>
  </si>
  <si>
    <t>Other revenue</t>
  </si>
  <si>
    <t>Income Tax Expense/(Benefit)</t>
  </si>
  <si>
    <t>Net Income</t>
  </si>
  <si>
    <t>Non-current assets</t>
  </si>
  <si>
    <t>Investment properties</t>
  </si>
  <si>
    <t>Other property, plant and equipment</t>
  </si>
  <si>
    <t>Right-of-use assets</t>
  </si>
  <si>
    <t>Goodwill</t>
  </si>
  <si>
    <t>Total non-current assets</t>
  </si>
  <si>
    <t>Current assets</t>
  </si>
  <si>
    <t>Trade and other receivables</t>
  </si>
  <si>
    <t>Bank deposits and cash and cash equivalents</t>
  </si>
  <si>
    <t>Total current assets</t>
  </si>
  <si>
    <t>Current liabilities</t>
  </si>
  <si>
    <t>Trade and other payables</t>
  </si>
  <si>
    <t>Lease liabilities (current)</t>
  </si>
  <si>
    <t>Bank borrowings (non-current)</t>
  </si>
  <si>
    <t>Total current liabilities</t>
  </si>
  <si>
    <t>Non-current liabilities</t>
  </si>
  <si>
    <t>Lease liabilities (non-current)</t>
  </si>
  <si>
    <t>bank borrowings (current)</t>
  </si>
  <si>
    <t>Total non-current liabilities</t>
  </si>
  <si>
    <t>Capital and reserves</t>
  </si>
  <si>
    <t>Share capital</t>
  </si>
  <si>
    <t>Reserves</t>
  </si>
  <si>
    <t>Total equity</t>
  </si>
  <si>
    <t>Total Assets</t>
  </si>
  <si>
    <t>Total Equity and Liabilities</t>
  </si>
  <si>
    <t>Operating activities</t>
  </si>
  <si>
    <t>Interest income</t>
  </si>
  <si>
    <t>Interest received</t>
  </si>
  <si>
    <t>Net cash generated from operating activities</t>
  </si>
  <si>
    <t>Investing activities</t>
  </si>
  <si>
    <t>Payment for purchase of other PPE</t>
  </si>
  <si>
    <t>Deposits paid for purchase of other PPE</t>
  </si>
  <si>
    <t>Net proceeds from disposal of other PPE</t>
  </si>
  <si>
    <t>Placement of bank deposits with more than three months to maturity</t>
  </si>
  <si>
    <t>Withdrawal of bank deposits with more than three months to maturity</t>
  </si>
  <si>
    <t>Net cash used in investing activities</t>
  </si>
  <si>
    <t>Financing activities</t>
  </si>
  <si>
    <t>New bank borrowings raised</t>
  </si>
  <si>
    <t>Repayment of bank borrowings</t>
  </si>
  <si>
    <t>Capital element of lease rentals paid</t>
  </si>
  <si>
    <t>Net cash used in financing activities</t>
  </si>
  <si>
    <t>Non-cash adjustments</t>
  </si>
  <si>
    <t>Impairment losses on non-current assets</t>
  </si>
  <si>
    <t>Changes in working capital</t>
  </si>
  <si>
    <t>Finance costs paid</t>
  </si>
  <si>
    <t>Income Statement (in $ millions)</t>
  </si>
  <si>
    <t>Balance Sheet (in $ millions)</t>
  </si>
  <si>
    <t>Statement of Cash Flows (in $ millions)</t>
  </si>
  <si>
    <t>Working Capital Analysis</t>
  </si>
  <si>
    <t>Solvency Analysis</t>
  </si>
  <si>
    <t>Fairwood (0052.HK) Financial Statements</t>
  </si>
  <si>
    <t>Other non-current assets</t>
  </si>
  <si>
    <t>Other current assets</t>
  </si>
  <si>
    <t>Other current liabilities</t>
  </si>
  <si>
    <t>Other non-current liabilities</t>
  </si>
  <si>
    <t>Other cash flow transactions related to Investing activities</t>
  </si>
  <si>
    <t>Net Profits Tax (paid)/refund</t>
  </si>
  <si>
    <t>Assumptions in the DCF Model</t>
  </si>
  <si>
    <t>Appendix 1: Weighted-average Cost of Capital (WACC) Calculation</t>
  </si>
  <si>
    <t>Appendix 2: Computation of the Terminal Growth Rate</t>
  </si>
  <si>
    <t>Appendix 3: Sensitivity Analysis</t>
  </si>
  <si>
    <t>Determined by the Growth Rate calculated in Appendix 2.</t>
  </si>
  <si>
    <t>Debt portions</t>
  </si>
  <si>
    <t>Determined by the revenue proportion in each of the years forecasted.</t>
  </si>
  <si>
    <t>Derived from the unlever beta from Damodaran's unlevered beta in restaurant or dining industry. The unlevered beta is relevered to equity beta via asset-beta formula, that the Debt-to-equity Ratio in in the year end 31 Mar 2026 is used.</t>
  </si>
  <si>
    <t>Damodaran's Equity Risk Premium and Unlevered Beta</t>
  </si>
  <si>
    <t>Derived from the Equity Risk Premium of Hong Kong and China from Damodaran's Equity Risk Premium. The weighting of the Equity Risk Premium of two locations is determined by the weighting of the revenue from Hong Kong and China operating segments estimated in the terminal year.</t>
  </si>
  <si>
    <t>Derived from the effective interest rate calculated from the interest expense of bank borrowings and lease liabilities in the year end 31 Mar 2026. For Tax Rate assumptions, please refer to the Tax Rate explanation.</t>
  </si>
  <si>
    <t>Determined from the estimation of inflation rate from International Monetary Fund and the estimation of the number of stores to be opened in Hong Kong and China from FairWood Financial Report in 2026. The proportion of the Terminal Growth Rate is determined by the weighting of the revenue from Hong Kong and China operating segments estimated in the terminal year. Please refer to the detailed computation of the Terminal Growth Rate in Appendix 2.</t>
  </si>
  <si>
    <t>Source: Bloomberg 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</si>
</sst>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
    <numFmt numFmtId="165" formatCode="0.000"/>
    <numFmt numFmtId="166" formatCode="0.0%"/>
  </numFmts>
  <fonts count="25">
    <font>
      <sz val="11"/>
      <color theme="1"/>
      <name val="Calibri"/>
      <family val="2"/>
      <scheme val="minor"/>
    </font>
    <font>
      <sz val="11"/>
      <color theme="1"/>
      <name val="Calibri"/>
      <family val="2"/>
      <scheme val="minor"/>
    </font>
    <font>
      <sz val="9"/>
      <name val="Calibri"/>
      <family val="3"/>
      <charset val="136"/>
      <scheme val="minor"/>
    </font>
    <font>
      <b/>
      <sz val="10"/>
      <color indexed="8"/>
      <name val="Arial"/>
      <family val="2"/>
    </font>
    <font>
      <sz val="10"/>
      <color indexed="8"/>
      <name val="Arial"/>
      <family val="2"/>
    </font>
    <font>
      <sz val="10"/>
      <color indexed="63"/>
      <name val="Arial"/>
      <family val="2"/>
    </font>
    <font>
      <strike/>
      <sz val="11"/>
      <color theme="1"/>
      <name val="Calibri"/>
      <family val="2"/>
      <scheme val="minor"/>
    </font>
    <font>
      <u/>
      <sz val="11"/>
      <color theme="10"/>
      <name val="Calibri"/>
      <family val="2"/>
      <scheme val="minor"/>
    </font>
    <font>
      <b/>
      <sz val="14"/>
      <color theme="1"/>
      <name val="Times New Roman"/>
      <family val="1"/>
    </font>
    <font>
      <b/>
      <sz val="14"/>
      <name val="Times New Roman"/>
      <family val="1"/>
    </font>
    <font>
      <sz val="11"/>
      <color theme="1"/>
      <name val="Times New Roman"/>
      <family val="1"/>
    </font>
    <font>
      <sz val="11"/>
      <color theme="0"/>
      <name val="Times New Roman"/>
      <family val="1"/>
    </font>
    <font>
      <sz val="11"/>
      <name val="Times New Roman"/>
      <family val="1"/>
    </font>
    <font>
      <b/>
      <sz val="11"/>
      <color theme="1"/>
      <name val="Times New Roman"/>
      <family val="1"/>
    </font>
    <font>
      <b/>
      <sz val="11"/>
      <color indexed="9"/>
      <name val="Calibri"/>
      <family val="2"/>
    </font>
    <font>
      <strike/>
      <sz val="11"/>
      <color theme="1"/>
      <name val="Times New Roman"/>
      <family val="1"/>
    </font>
    <font>
      <sz val="10"/>
      <color theme="1"/>
      <name val="Times New Roman"/>
      <family val="1"/>
    </font>
    <font>
      <sz val="10"/>
      <color rgb="FF0000FF"/>
      <name val="Times New Roman"/>
      <family val="1"/>
    </font>
    <font>
      <sz val="10"/>
      <color indexed="63"/>
      <name val="Times New Roman"/>
      <family val="1"/>
    </font>
    <font>
      <b/>
      <sz val="8"/>
      <color theme="1"/>
      <name val="Times New Roman"/>
      <family val="1"/>
    </font>
    <font>
      <u/>
      <sz val="11"/>
      <color theme="10"/>
      <name val="Times New Roman"/>
      <family val="1"/>
    </font>
    <font>
      <i/>
      <sz val="11"/>
      <color theme="1"/>
      <name val="Times New Roman"/>
      <family val="1"/>
    </font>
    <font>
      <b/>
      <sz val="11"/>
      <name val="Times New Roman"/>
      <family val="1"/>
    </font>
    <font>
      <b/>
      <sz val="12"/>
      <color theme="1"/>
      <name val="Times New Roman"/>
      <family val="1"/>
    </font>
    <font>
      <i/>
      <sz val="11"/>
      <color rgb="FF595959"/>
      <name val="Calibri"/>
    </font>
  </fonts>
  <fills count="10">
    <fill>
      <patternFill patternType="none"/>
    </fill>
    <fill>
      <patternFill patternType="gray125"/>
    </fill>
    <fill>
      <patternFill patternType="solid">
        <fgColor rgb="FFFFFFFF"/>
        <bgColor indexed="64"/>
      </patternFill>
    </fill>
    <fill>
      <patternFill patternType="solid">
        <fgColor theme="2" tint="-0.499984740745262"/>
        <bgColor indexed="64"/>
      </patternFill>
    </fill>
    <fill>
      <patternFill patternType="solid">
        <fgColor rgb="FFD9E1F2"/>
        <bgColor indexed="64"/>
      </patternFill>
    </fill>
    <fill>
      <patternFill patternType="solid">
        <fgColor theme="8" tint="0.79998168889431442"/>
        <bgColor indexed="64"/>
      </patternFill>
    </fill>
    <fill>
      <patternFill patternType="solid">
        <fgColor rgb="FF99D7DA"/>
        <bgColor indexed="64"/>
      </patternFill>
    </fill>
    <fill>
      <patternFill patternType="solid">
        <fgColor rgb="FF4F81BD"/>
        <bgColor indexed="64"/>
      </patternFill>
    </fill>
    <fill>
      <patternFill patternType="solid">
        <fgColor theme="2" tint="-9.9978637043366805E-2"/>
        <bgColor indexed="64"/>
      </patternFill>
    </fill>
    <fill>
      <patternFill patternType="solid">
        <fgColor rgb="FFF2F2F2"/>
        <bgColor rgb="FFF2F2F2"/>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thin">
        <color indexed="64"/>
      </top>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
    <xf numFmtId="0" fontId="0" fillId="0" borderId="0"/>
    <xf numFmtId="4" fontId="3" fillId="2" borderId="2">
      <alignment horizontal="right"/>
    </xf>
    <xf numFmtId="4" fontId="4" fillId="2" borderId="2">
      <alignment horizontal="right"/>
    </xf>
    <xf numFmtId="0" fontId="5" fillId="2" borderId="3"/>
    <xf numFmtId="9" fontId="1" fillId="0" borderId="0" applyFont="0" applyFill="0" applyBorder="0" applyAlignment="0" applyProtection="0"/>
    <xf numFmtId="9" fontId="1" fillId="0" borderId="0" applyFont="0" applyFill="0" applyBorder="0" applyAlignment="0" applyProtection="0">
      <alignment vertical="center"/>
    </xf>
    <xf numFmtId="0" fontId="7" fillId="0" borderId="0" applyNumberFormat="0" applyFill="0" applyBorder="0" applyAlignment="0" applyProtection="0"/>
    <xf numFmtId="0" fontId="14" fillId="7" borderId="0"/>
  </cellStyleXfs>
  <cellXfs count="106">
    <xf numFmtId="0" fontId="0" fillId="0" borderId="0" xfId="0"/>
    <xf numFmtId="0" fontId="6" fillId="0" borderId="0" xfId="0" applyFont="1"/>
    <xf numFmtId="0" fontId="8" fillId="0" borderId="0" xfId="0" applyFont="1"/>
    <xf numFmtId="0" fontId="9" fillId="0" borderId="0" xfId="0" applyFont="1"/>
    <xf numFmtId="0" fontId="10" fillId="0" borderId="0" xfId="0" applyFont="1"/>
    <xf numFmtId="0" fontId="11" fillId="3" borderId="1" xfId="0" applyFont="1" applyFill="1" applyBorder="1" applyAlignment="1">
      <alignment horizontal="right" vertical="center" wrapText="1"/>
    </xf>
    <xf numFmtId="17" fontId="10" fillId="4" borderId="0" xfId="0" applyNumberFormat="1" applyFont="1" applyFill="1"/>
    <xf numFmtId="0" fontId="12" fillId="2" borderId="0" xfId="0" applyFont="1" applyFill="1" applyAlignment="1">
      <alignment horizontal="right" vertical="center" wrapText="1" readingOrder="1"/>
    </xf>
    <xf numFmtId="0" fontId="10" fillId="6" borderId="0" xfId="0" applyFont="1" applyFill="1"/>
    <xf numFmtId="10" fontId="10" fillId="6" borderId="0" xfId="0" applyNumberFormat="1" applyFont="1" applyFill="1"/>
    <xf numFmtId="10" fontId="10" fillId="0" borderId="1"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0"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0" fillId="0" borderId="6" xfId="0" applyFont="1" applyBorder="1" applyAlignment="1">
      <alignment horizontal="center" vertical="center" wrapText="1"/>
    </xf>
    <xf numFmtId="2" fontId="10" fillId="0" borderId="1" xfId="0" applyNumberFormat="1" applyFont="1" applyBorder="1" applyAlignment="1">
      <alignment horizontal="center" vertical="center" wrapText="1"/>
    </xf>
    <xf numFmtId="0" fontId="0" fillId="8" borderId="1" xfId="0" applyFill="1" applyBorder="1" applyAlignment="1">
      <alignment horizontal="center" vertical="center"/>
    </xf>
    <xf numFmtId="0" fontId="0" fillId="8" borderId="8" xfId="0" applyFill="1" applyBorder="1" applyAlignment="1">
      <alignment horizontal="center" vertical="center"/>
    </xf>
    <xf numFmtId="0" fontId="0" fillId="0" borderId="0" xfId="0" applyBorder="1" applyAlignment="1"/>
    <xf numFmtId="0" fontId="10" fillId="0" borderId="0" xfId="0" applyFont="1" applyFill="1"/>
    <xf numFmtId="15" fontId="10" fillId="8" borderId="0" xfId="0" applyNumberFormat="1" applyFont="1" applyFill="1"/>
    <xf numFmtId="15" fontId="10" fillId="0" borderId="0" xfId="0" applyNumberFormat="1" applyFont="1"/>
    <xf numFmtId="164" fontId="10" fillId="8" borderId="0" xfId="0" applyNumberFormat="1" applyFont="1" applyFill="1"/>
    <xf numFmtId="164" fontId="10" fillId="0" borderId="0" xfId="0" applyNumberFormat="1" applyFont="1"/>
    <xf numFmtId="164" fontId="10" fillId="0" borderId="0" xfId="0" applyNumberFormat="1" applyFont="1" applyFill="1"/>
    <xf numFmtId="164" fontId="10" fillId="8" borderId="4" xfId="0" applyNumberFormat="1" applyFont="1" applyFill="1" applyBorder="1"/>
    <xf numFmtId="164" fontId="10" fillId="0" borderId="4" xfId="0" applyNumberFormat="1" applyFont="1" applyBorder="1"/>
    <xf numFmtId="164" fontId="10" fillId="0" borderId="4" xfId="0" applyNumberFormat="1" applyFont="1" applyFill="1" applyBorder="1"/>
    <xf numFmtId="0" fontId="13" fillId="0" borderId="0" xfId="0" applyFont="1"/>
    <xf numFmtId="164" fontId="13" fillId="0" borderId="0" xfId="0" applyNumberFormat="1" applyFont="1"/>
    <xf numFmtId="164" fontId="13" fillId="0" borderId="0" xfId="0" applyNumberFormat="1" applyFont="1" applyFill="1"/>
    <xf numFmtId="0" fontId="15" fillId="0" borderId="0" xfId="0" applyFont="1"/>
    <xf numFmtId="165" fontId="10" fillId="0" borderId="0" xfId="4" applyNumberFormat="1" applyFont="1"/>
    <xf numFmtId="8" fontId="10" fillId="0" borderId="15" xfId="0" applyNumberFormat="1" applyFont="1" applyBorder="1"/>
    <xf numFmtId="165" fontId="13" fillId="0" borderId="16" xfId="0" applyNumberFormat="1" applyFont="1" applyBorder="1"/>
    <xf numFmtId="2" fontId="10" fillId="0" borderId="0" xfId="0" applyNumberFormat="1" applyFont="1"/>
    <xf numFmtId="0" fontId="13" fillId="0" borderId="0" xfId="0" applyFont="1" applyFill="1"/>
    <xf numFmtId="0" fontId="16" fillId="0" borderId="0" xfId="0" applyFont="1" applyFill="1"/>
    <xf numFmtId="164" fontId="17" fillId="0" borderId="0" xfId="0" applyNumberFormat="1" applyFont="1" applyAlignment="1">
      <alignment horizontal="right"/>
    </xf>
    <xf numFmtId="0" fontId="18" fillId="0" borderId="0" xfId="3" applyFont="1" applyFill="1" applyBorder="1"/>
    <xf numFmtId="164" fontId="17" fillId="0" borderId="0" xfId="2" applyNumberFormat="1" applyFont="1" applyFill="1" applyBorder="1">
      <alignment horizontal="right"/>
    </xf>
    <xf numFmtId="10" fontId="10" fillId="0" borderId="0" xfId="4" applyNumberFormat="1" applyFont="1"/>
    <xf numFmtId="10" fontId="13" fillId="0" borderId="16" xfId="4" applyNumberFormat="1" applyFont="1" applyFill="1" applyBorder="1"/>
    <xf numFmtId="10" fontId="10" fillId="0" borderId="0" xfId="4" applyNumberFormat="1" applyFont="1" applyFill="1"/>
    <xf numFmtId="10" fontId="10" fillId="0" borderId="0" xfId="5" applyNumberFormat="1" applyFont="1" applyFill="1" applyAlignment="1"/>
    <xf numFmtId="2" fontId="10" fillId="0" borderId="0" xfId="0" applyNumberFormat="1" applyFont="1" applyFill="1"/>
    <xf numFmtId="0" fontId="19" fillId="0" borderId="0" xfId="0" applyFont="1" applyAlignment="1">
      <alignment vertical="center"/>
    </xf>
    <xf numFmtId="0" fontId="20" fillId="0" borderId="0" xfId="6" applyFont="1"/>
    <xf numFmtId="0" fontId="10" fillId="0" borderId="15" xfId="0" applyFont="1" applyBorder="1"/>
    <xf numFmtId="166" fontId="10" fillId="0" borderId="0" xfId="5" applyNumberFormat="1" applyFont="1" applyAlignment="1"/>
    <xf numFmtId="0" fontId="21" fillId="0" borderId="0" xfId="0" applyFont="1" applyFill="1"/>
    <xf numFmtId="0" fontId="21" fillId="0" borderId="0" xfId="0" applyFont="1"/>
    <xf numFmtId="9" fontId="10" fillId="0" borderId="0" xfId="0" applyNumberFormat="1" applyFont="1"/>
    <xf numFmtId="0" fontId="10" fillId="0" borderId="0" xfId="0" quotePrefix="1" applyFont="1"/>
    <xf numFmtId="1" fontId="10" fillId="0" borderId="0" xfId="0" applyNumberFormat="1" applyFont="1"/>
    <xf numFmtId="0" fontId="13" fillId="0" borderId="15" xfId="0" applyFont="1" applyBorder="1"/>
    <xf numFmtId="10" fontId="13" fillId="0" borderId="16" xfId="4" applyNumberFormat="1" applyFont="1" applyBorder="1"/>
    <xf numFmtId="0" fontId="10" fillId="0" borderId="0" xfId="0" applyFont="1" applyBorder="1" applyAlignment="1"/>
    <xf numFmtId="0" fontId="20" fillId="0" borderId="0" xfId="6" applyFont="1" applyBorder="1"/>
    <xf numFmtId="0" fontId="22" fillId="0" borderId="1" xfId="0" applyFont="1" applyBorder="1" applyAlignment="1">
      <alignment horizontal="center" vertical="top"/>
    </xf>
    <xf numFmtId="10" fontId="10" fillId="0" borderId="0" xfId="0" applyNumberFormat="1" applyFont="1"/>
    <xf numFmtId="0" fontId="10" fillId="0" borderId="16" xfId="0" applyFont="1" applyBorder="1"/>
    <xf numFmtId="164" fontId="0" fillId="0" borderId="0" xfId="0" applyNumberFormat="1"/>
    <xf numFmtId="0" fontId="13" fillId="0" borderId="16" xfId="0" applyFont="1" applyBorder="1"/>
    <xf numFmtId="0" fontId="10" fillId="0" borderId="0" xfId="0" applyFont="1" applyBorder="1"/>
    <xf numFmtId="0" fontId="10" fillId="0" borderId="0" xfId="0" applyFont="1" applyAlignment="1">
      <alignment horizontal="right"/>
    </xf>
    <xf numFmtId="0" fontId="22" fillId="0" borderId="17" xfId="0" applyFont="1" applyBorder="1" applyAlignment="1">
      <alignment horizontal="center" vertical="top"/>
    </xf>
    <xf numFmtId="10" fontId="10" fillId="0" borderId="3" xfId="0" applyNumberFormat="1" applyFont="1" applyBorder="1"/>
    <xf numFmtId="10" fontId="10" fillId="0" borderId="0" xfId="0" applyNumberFormat="1" applyFont="1" applyBorder="1"/>
    <xf numFmtId="10" fontId="10" fillId="0" borderId="20" xfId="0" applyNumberFormat="1" applyFont="1" applyBorder="1"/>
    <xf numFmtId="10" fontId="10" fillId="0" borderId="21" xfId="0" applyNumberFormat="1" applyFont="1" applyBorder="1"/>
    <xf numFmtId="10" fontId="10" fillId="0" borderId="4" xfId="0" applyNumberFormat="1" applyFont="1" applyBorder="1"/>
    <xf numFmtId="10" fontId="10" fillId="0" borderId="22" xfId="0" applyNumberFormat="1" applyFont="1" applyBorder="1"/>
    <xf numFmtId="2" fontId="10" fillId="0" borderId="3" xfId="0" applyNumberFormat="1" applyFont="1" applyBorder="1"/>
    <xf numFmtId="2" fontId="10" fillId="0" borderId="0" xfId="0" applyNumberFormat="1" applyFont="1" applyBorder="1"/>
    <xf numFmtId="2" fontId="10" fillId="0" borderId="20" xfId="0" applyNumberFormat="1" applyFont="1" applyBorder="1"/>
    <xf numFmtId="2" fontId="10" fillId="0" borderId="21" xfId="0" applyNumberFormat="1" applyFont="1" applyBorder="1"/>
    <xf numFmtId="2" fontId="10" fillId="0" borderId="4" xfId="0" applyNumberFormat="1" applyFont="1" applyBorder="1"/>
    <xf numFmtId="2" fontId="10" fillId="0" borderId="22" xfId="0" applyNumberFormat="1" applyFont="1" applyBorder="1"/>
    <xf numFmtId="0" fontId="10" fillId="0" borderId="2" xfId="0" applyFont="1" applyBorder="1"/>
    <xf numFmtId="0" fontId="10" fillId="0" borderId="23" xfId="0" applyFont="1" applyBorder="1"/>
    <xf numFmtId="0" fontId="10" fillId="0" borderId="3" xfId="0" applyFont="1" applyBorder="1"/>
    <xf numFmtId="0" fontId="10" fillId="0" borderId="21" xfId="0" applyFont="1" applyBorder="1"/>
    <xf numFmtId="0" fontId="23" fillId="0" borderId="0" xfId="0" applyFont="1" applyFill="1"/>
    <xf numFmtId="0" fontId="10" fillId="0" borderId="24" xfId="0" applyFont="1" applyBorder="1"/>
    <xf numFmtId="165" fontId="10" fillId="0" borderId="0" xfId="0" applyNumberFormat="1" applyFont="1" applyBorder="1"/>
    <xf numFmtId="165" fontId="10" fillId="0" borderId="20" xfId="0" applyNumberFormat="1" applyFont="1" applyBorder="1"/>
    <xf numFmtId="165" fontId="10" fillId="0" borderId="4" xfId="0" applyNumberFormat="1" applyFont="1" applyBorder="1"/>
    <xf numFmtId="165" fontId="10" fillId="0" borderId="22" xfId="0" applyNumberFormat="1" applyFont="1" applyBorder="1"/>
    <xf numFmtId="0" fontId="10" fillId="0" borderId="17" xfId="0" applyFont="1" applyBorder="1" applyAlignment="1">
      <alignment horizontal="center"/>
    </xf>
    <xf numFmtId="0" fontId="10" fillId="0" borderId="19" xfId="0" applyFont="1" applyBorder="1" applyAlignment="1">
      <alignment horizontal="center"/>
    </xf>
    <xf numFmtId="0" fontId="10" fillId="0" borderId="18" xfId="0" applyFont="1" applyBorder="1" applyAlignment="1">
      <alignment horizontal="center"/>
    </xf>
    <xf numFmtId="0" fontId="13" fillId="0" borderId="3" xfId="0" applyFont="1" applyBorder="1" applyAlignment="1">
      <alignment horizontal="right" vertical="center" textRotation="90"/>
    </xf>
    <xf numFmtId="0" fontId="13" fillId="0" borderId="21" xfId="0" applyFont="1" applyBorder="1" applyAlignment="1">
      <alignment horizontal="right" vertical="center" textRotation="90"/>
    </xf>
    <xf numFmtId="0" fontId="13" fillId="0" borderId="15" xfId="0" applyFont="1" applyBorder="1" applyAlignment="1">
      <alignment horizontal="center"/>
    </xf>
    <xf numFmtId="0" fontId="13" fillId="0" borderId="25" xfId="0" applyFont="1" applyBorder="1" applyAlignment="1">
      <alignment horizontal="center"/>
    </xf>
    <xf numFmtId="0" fontId="13" fillId="0" borderId="0" xfId="0" applyFont="1" applyBorder="1" applyAlignment="1">
      <alignment horizontal="center"/>
    </xf>
    <xf numFmtId="0" fontId="13" fillId="0" borderId="20" xfId="0" applyFont="1" applyBorder="1" applyAlignment="1">
      <alignment horizontal="center"/>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20" fillId="5" borderId="0" xfId="6" applyFont="1" applyFill="1" applyAlignment="1">
      <alignment horizontal="left"/>
    </xf>
    <xf numFmtId="0" fontId="10" fillId="5" borderId="0" xfId="0" applyFont="1" applyFill="1" applyAlignment="1">
      <alignment horizontal="left"/>
    </xf>
    <xf numFmtId="0" fontId="24" fillId="9" borderId="0" xfId="0" applyFont="1" applyFill="1"/>
  </cellXfs>
  <cellStyles count="8">
    <cellStyle name="blp_column_header" xfId="7" xr:uid="{06106C5C-D968-472E-8271-BB7E03C6AFCE}"/>
    <cellStyle name="fa_data_bold_2_grouped" xfId="1" xr:uid="{6842ADB0-95E9-4889-B259-C828B32C23EA}"/>
    <cellStyle name="fa_data_standard_2_grouped" xfId="2" xr:uid="{EFAC7093-220C-4CE1-BDA7-2B257FC6DD9B}"/>
    <cellStyle name="fa_row_header_standard 2" xfId="3" xr:uid="{C841A0A3-9EC6-4658-B810-4C7E157C2D76}"/>
    <cellStyle name="Hyperlink" xfId="6" builtinId="8"/>
    <cellStyle name="Normal" xfId="0" builtinId="0"/>
    <cellStyle name="Per cent 2" xfId="4" xr:uid="{268EB145-EB74-4C2E-BB04-FE9685CDC0D1}"/>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lp\data\ANR_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R"/>
      <sheetName val="Data"/>
      <sheetName val="$ANR_Data_Sheet"/>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pages.stern.nyu.edu/~adamodar/New_Home_Page/datacurrent.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vesting.com/rates-bonds/hong-kong-10-year-bond-yield-historic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0E67-A930-43F4-9D04-391276FA8364}">
  <dimension ref="A1:W79"/>
  <sheetViews>
    <sheetView tabSelected="1" workbookViewId="0">
      <selection activeCell="A33" sqref="A33"/>
    </sheetView>
  </sheetViews>
  <sheetFormatPr defaultRowHeight="14.5"/>
  <cols>
    <col min="1" max="1" width="35.26953125" bestFit="1" customWidth="1"/>
    <col min="2" max="7" width="8.81640625" bestFit="1" customWidth="1"/>
    <col min="8" max="8" width="2.81640625" customWidth="1"/>
    <col min="9" max="9" width="37.1796875" bestFit="1" customWidth="1"/>
    <col min="10" max="15" width="8.81640625" bestFit="1" customWidth="1"/>
    <col min="16" max="16" width="2.6328125" customWidth="1"/>
    <col min="17" max="17" width="56.90625" bestFit="1" customWidth="1"/>
    <col min="18" max="23" width="8.453125" bestFit="1" customWidth="1"/>
  </cols>
  <sheetData>
    <row r="1" spans="1:23" ht="17.5">
      <c r="A1" s="3" t="s">
        <v>200</v>
      </c>
    </row>
    <row r="2" spans="1:23">
      <c r="A2" s="61" t="s">
        <v>195</v>
      </c>
      <c r="B2" s="61">
        <v>2021</v>
      </c>
      <c r="C2" s="61">
        <v>2022</v>
      </c>
      <c r="D2" s="61">
        <v>2023</v>
      </c>
      <c r="E2" s="61">
        <v>2024</v>
      </c>
      <c r="F2" s="61">
        <v>2025</v>
      </c>
      <c r="G2" s="61">
        <v>2026</v>
      </c>
      <c r="I2" s="61" t="s">
        <v>196</v>
      </c>
      <c r="J2" s="61">
        <v>2021</v>
      </c>
      <c r="K2" s="61">
        <v>2022</v>
      </c>
      <c r="L2" s="61">
        <v>2023</v>
      </c>
      <c r="M2" s="61">
        <v>2024</v>
      </c>
      <c r="N2" s="61">
        <v>2025</v>
      </c>
      <c r="O2" s="61">
        <v>2026</v>
      </c>
      <c r="Q2" s="61" t="s">
        <v>197</v>
      </c>
      <c r="R2" s="61">
        <v>2021</v>
      </c>
      <c r="S2" s="61">
        <v>2022</v>
      </c>
      <c r="T2" s="61">
        <v>2023</v>
      </c>
      <c r="U2" s="61">
        <v>2024</v>
      </c>
      <c r="V2" s="61">
        <v>2025</v>
      </c>
      <c r="W2" s="61">
        <v>2026</v>
      </c>
    </row>
    <row r="3" spans="1:23">
      <c r="A3" s="4" t="s">
        <v>0</v>
      </c>
      <c r="B3" s="4">
        <v>3030.1979999999999</v>
      </c>
      <c r="C3" s="4">
        <v>2646.4690000000001</v>
      </c>
      <c r="D3" s="4">
        <v>2881.942</v>
      </c>
      <c r="E3" s="4">
        <v>3024.152</v>
      </c>
      <c r="F3" s="4">
        <v>3136.9470000000001</v>
      </c>
      <c r="G3" s="4">
        <v>3100.07</v>
      </c>
      <c r="I3" s="30" t="s">
        <v>150</v>
      </c>
      <c r="J3" s="4"/>
      <c r="K3" s="4"/>
      <c r="L3" s="4"/>
      <c r="M3" s="4"/>
      <c r="N3" s="4"/>
      <c r="O3" s="4"/>
      <c r="Q3" s="30" t="s">
        <v>175</v>
      </c>
      <c r="R3" s="4"/>
      <c r="S3" s="4"/>
      <c r="T3" s="4"/>
      <c r="U3" s="4"/>
      <c r="V3" s="4"/>
    </row>
    <row r="4" spans="1:23">
      <c r="A4" s="4" t="s">
        <v>141</v>
      </c>
      <c r="B4" s="4">
        <v>2752.83</v>
      </c>
      <c r="C4" s="4">
        <v>2318.873</v>
      </c>
      <c r="D4" s="4">
        <v>2659.3809999999999</v>
      </c>
      <c r="E4" s="4">
        <v>2767.3939999999998</v>
      </c>
      <c r="F4" s="4">
        <v>2866.3530000000001</v>
      </c>
      <c r="G4" s="4">
        <v>2862.864</v>
      </c>
      <c r="I4" s="4" t="s">
        <v>151</v>
      </c>
      <c r="J4" s="4">
        <v>29.83</v>
      </c>
      <c r="K4" s="4">
        <v>28.1</v>
      </c>
      <c r="L4" s="4">
        <v>23.26</v>
      </c>
      <c r="M4" s="4">
        <v>22.24</v>
      </c>
      <c r="N4" s="4">
        <v>21.09</v>
      </c>
      <c r="O4" s="4">
        <v>21.904</v>
      </c>
      <c r="Q4" s="4" t="s">
        <v>146</v>
      </c>
      <c r="R4" s="4">
        <v>138.399</v>
      </c>
      <c r="S4" s="4">
        <v>47.804000000000002</v>
      </c>
      <c r="T4" s="4">
        <v>51.664000000000001</v>
      </c>
      <c r="U4" s="4">
        <v>65.125</v>
      </c>
      <c r="V4" s="4">
        <v>38.649000000000001</v>
      </c>
      <c r="W4" s="4">
        <v>51.622</v>
      </c>
    </row>
    <row r="5" spans="1:23">
      <c r="A5" s="4" t="s">
        <v>142</v>
      </c>
      <c r="B5" s="50">
        <v>277.36799999999999</v>
      </c>
      <c r="C5" s="50">
        <v>327.596</v>
      </c>
      <c r="D5" s="50">
        <v>222.56100000000001</v>
      </c>
      <c r="E5" s="50">
        <v>256.75799999999998</v>
      </c>
      <c r="F5" s="50">
        <v>270.59399999999999</v>
      </c>
      <c r="G5" s="50">
        <v>237.20599999999999</v>
      </c>
      <c r="I5" s="4" t="s">
        <v>152</v>
      </c>
      <c r="J5" s="4">
        <v>424.86599999999999</v>
      </c>
      <c r="K5" s="4">
        <v>385.197</v>
      </c>
      <c r="L5" s="4">
        <v>379.399</v>
      </c>
      <c r="M5" s="4">
        <v>396.59300000000002</v>
      </c>
      <c r="N5" s="4">
        <v>433.077</v>
      </c>
      <c r="O5" s="4">
        <v>466.65</v>
      </c>
      <c r="Q5" s="4" t="s">
        <v>191</v>
      </c>
      <c r="R5" s="4">
        <v>656.85299999999984</v>
      </c>
      <c r="S5" s="4">
        <v>550.50299999999993</v>
      </c>
      <c r="T5" s="4">
        <v>522.47500000000002</v>
      </c>
      <c r="U5" s="4">
        <v>533.76699999999994</v>
      </c>
      <c r="V5" s="4">
        <v>543.84500000000003</v>
      </c>
      <c r="W5" s="4">
        <v>549.54399999999998</v>
      </c>
    </row>
    <row r="6" spans="1:23">
      <c r="A6" s="4" t="s">
        <v>147</v>
      </c>
      <c r="B6" s="4">
        <v>23.094999999999999</v>
      </c>
      <c r="C6" s="4">
        <v>99.921000000000006</v>
      </c>
      <c r="D6" s="4">
        <v>76.263000000000005</v>
      </c>
      <c r="E6" s="4">
        <v>41.514000000000003</v>
      </c>
      <c r="F6" s="4">
        <v>42.405000000000001</v>
      </c>
      <c r="G6" s="4">
        <v>58.2</v>
      </c>
      <c r="I6" s="4" t="s">
        <v>153</v>
      </c>
      <c r="J6" s="4">
        <v>1110.6089999999999</v>
      </c>
      <c r="K6" s="4">
        <v>1078.7439999999999</v>
      </c>
      <c r="L6" s="4">
        <v>1033.885</v>
      </c>
      <c r="M6" s="4">
        <v>970.57399999999996</v>
      </c>
      <c r="N6" s="4">
        <v>881.00099999999998</v>
      </c>
      <c r="O6" s="4">
        <v>890.71100000000001</v>
      </c>
      <c r="Q6" s="4" t="s">
        <v>145</v>
      </c>
      <c r="R6" s="4">
        <v>36.823999999999998</v>
      </c>
      <c r="S6" s="4">
        <v>32.404000000000003</v>
      </c>
      <c r="T6" s="4">
        <v>31.698</v>
      </c>
      <c r="U6" s="4">
        <v>33.366</v>
      </c>
      <c r="V6" s="4">
        <v>33.677</v>
      </c>
      <c r="W6" s="4">
        <v>32.637999999999998</v>
      </c>
    </row>
    <row r="7" spans="1:23">
      <c r="A7" s="4"/>
      <c r="B7" s="50">
        <v>300.46299999999997</v>
      </c>
      <c r="C7" s="50">
        <v>427.517</v>
      </c>
      <c r="D7" s="50">
        <v>298.82400000000001</v>
      </c>
      <c r="E7" s="50">
        <v>298.27199999999999</v>
      </c>
      <c r="F7" s="50">
        <v>312.99900000000002</v>
      </c>
      <c r="G7" s="50">
        <v>295.40600000000001</v>
      </c>
      <c r="I7" s="4" t="s">
        <v>201</v>
      </c>
      <c r="J7" s="4">
        <v>79.44</v>
      </c>
      <c r="K7" s="4">
        <v>74.74199999999999</v>
      </c>
      <c r="L7" s="4">
        <v>72.552999999999997</v>
      </c>
      <c r="M7" s="4">
        <v>61.005000000000003</v>
      </c>
      <c r="N7" s="4">
        <v>65.978999999999999</v>
      </c>
      <c r="O7" s="4">
        <v>59.67</v>
      </c>
      <c r="Q7" s="4" t="s">
        <v>176</v>
      </c>
      <c r="R7" s="4">
        <v>-4.4370000000000003</v>
      </c>
      <c r="S7" s="4">
        <v>-3.2949999999999999</v>
      </c>
      <c r="T7" s="4">
        <v>-14.757</v>
      </c>
      <c r="U7" s="4">
        <v>-28.113</v>
      </c>
      <c r="V7" s="4">
        <v>-24.257000000000001</v>
      </c>
      <c r="W7" s="4">
        <v>-16.347000000000001</v>
      </c>
    </row>
    <row r="8" spans="1:23">
      <c r="A8" s="4" t="s">
        <v>143</v>
      </c>
      <c r="B8" s="4">
        <v>32.722000000000001</v>
      </c>
      <c r="C8" s="4">
        <v>34.511000000000003</v>
      </c>
      <c r="D8" s="4">
        <v>37.164999999999999</v>
      </c>
      <c r="E8" s="4">
        <v>37.378999999999998</v>
      </c>
      <c r="F8" s="4">
        <v>35.53</v>
      </c>
      <c r="G8" s="4">
        <v>43.68</v>
      </c>
      <c r="I8" s="4" t="s">
        <v>154</v>
      </c>
      <c r="J8" s="4">
        <v>1.0009999999999999</v>
      </c>
      <c r="K8" s="4">
        <v>1.0009999999999999</v>
      </c>
      <c r="L8" s="4">
        <v>1.0009999999999999</v>
      </c>
      <c r="M8" s="4">
        <v>1.0009999999999999</v>
      </c>
      <c r="N8" s="4">
        <v>1.0009999999999999</v>
      </c>
      <c r="O8" s="4">
        <v>1.0009999999999999</v>
      </c>
      <c r="Q8" s="4" t="s">
        <v>193</v>
      </c>
      <c r="R8" s="4">
        <v>-46.412999999999997</v>
      </c>
      <c r="S8" s="4">
        <v>-69.534999999999997</v>
      </c>
      <c r="T8" s="4">
        <v>102.21</v>
      </c>
      <c r="U8" s="4">
        <v>23.164000000000001</v>
      </c>
      <c r="V8" s="4">
        <v>-15.876999999999995</v>
      </c>
      <c r="W8" s="4">
        <v>38.277000000000001</v>
      </c>
    </row>
    <row r="9" spans="1:23">
      <c r="A9" s="4" t="s">
        <v>144</v>
      </c>
      <c r="B9" s="4">
        <v>126.078</v>
      </c>
      <c r="C9" s="4">
        <v>115.526</v>
      </c>
      <c r="D9" s="4">
        <v>130.44900000000001</v>
      </c>
      <c r="E9" s="4">
        <v>132.05799999999999</v>
      </c>
      <c r="F9" s="4">
        <v>145.32400000000001</v>
      </c>
      <c r="G9" s="4">
        <v>141.86799999999999</v>
      </c>
      <c r="I9" s="4" t="s">
        <v>155</v>
      </c>
      <c r="J9" s="50">
        <v>1645.7460000000001</v>
      </c>
      <c r="K9" s="50">
        <v>1567.7840000000001</v>
      </c>
      <c r="L9" s="50">
        <v>1510.098</v>
      </c>
      <c r="M9" s="50">
        <v>1451.413</v>
      </c>
      <c r="N9" s="50">
        <v>1402.1479999999999</v>
      </c>
      <c r="O9" s="50">
        <v>1439.9359999999999</v>
      </c>
      <c r="Q9" s="4" t="s">
        <v>177</v>
      </c>
      <c r="R9" s="4">
        <v>4.7009999999999996</v>
      </c>
      <c r="S9" s="4">
        <v>3.5419999999999998</v>
      </c>
      <c r="T9" s="4">
        <v>11.858000000000001</v>
      </c>
      <c r="U9" s="4">
        <v>28.058</v>
      </c>
      <c r="V9" s="4">
        <v>23.395</v>
      </c>
      <c r="W9" s="4">
        <v>17.545000000000002</v>
      </c>
    </row>
    <row r="10" spans="1:23">
      <c r="A10" s="4" t="s">
        <v>192</v>
      </c>
      <c r="B10" s="4">
        <v>31.588000000000001</v>
      </c>
      <c r="C10" s="4">
        <v>102.25700000000001</v>
      </c>
      <c r="D10" s="4">
        <v>51.002000000000002</v>
      </c>
      <c r="E10" s="4">
        <v>45.472999999999999</v>
      </c>
      <c r="F10" s="4">
        <v>33.654000000000003</v>
      </c>
      <c r="G10" s="4">
        <v>37.531999999999996</v>
      </c>
      <c r="I10" s="30" t="s">
        <v>156</v>
      </c>
      <c r="J10" s="4"/>
      <c r="K10" s="4"/>
      <c r="L10" s="4"/>
      <c r="M10" s="4"/>
      <c r="N10" s="4"/>
      <c r="O10" s="4"/>
      <c r="Q10" s="4" t="s">
        <v>206</v>
      </c>
      <c r="R10" s="4">
        <v>-5.1260000000000003</v>
      </c>
      <c r="S10" s="4">
        <v>-0.06</v>
      </c>
      <c r="T10" s="4">
        <v>4.2450000000000001</v>
      </c>
      <c r="U10" s="4">
        <v>-5.2590000000000003</v>
      </c>
      <c r="V10" s="4">
        <v>-12.98</v>
      </c>
      <c r="W10" s="4">
        <v>-4.4480000000000004</v>
      </c>
    </row>
    <row r="11" spans="1:23">
      <c r="A11" s="4" t="s">
        <v>3</v>
      </c>
      <c r="B11" s="50">
        <v>110.075</v>
      </c>
      <c r="C11" s="50">
        <v>175.22300000000001</v>
      </c>
      <c r="D11" s="50">
        <v>80.207999999999998</v>
      </c>
      <c r="E11" s="50">
        <v>83.361999999999995</v>
      </c>
      <c r="F11" s="50">
        <v>98.491</v>
      </c>
      <c r="G11" s="50">
        <v>72.325999999999993</v>
      </c>
      <c r="I11" s="4" t="s">
        <v>4</v>
      </c>
      <c r="J11" s="4">
        <v>46.008000000000003</v>
      </c>
      <c r="K11" s="4">
        <v>57.277999999999999</v>
      </c>
      <c r="L11" s="4">
        <v>55.624000000000002</v>
      </c>
      <c r="M11" s="4">
        <v>52.651000000000003</v>
      </c>
      <c r="N11" s="4">
        <v>54.281999999999996</v>
      </c>
      <c r="O11" s="4">
        <v>56.945</v>
      </c>
      <c r="Q11" s="30" t="s">
        <v>178</v>
      </c>
      <c r="R11" s="57">
        <v>780.78899999999999</v>
      </c>
      <c r="S11" s="57">
        <v>561.36300000000006</v>
      </c>
      <c r="T11" s="57">
        <v>709.39300000000003</v>
      </c>
      <c r="U11" s="57">
        <v>650.10799999999995</v>
      </c>
      <c r="V11" s="57">
        <v>586.452</v>
      </c>
      <c r="W11" s="57">
        <v>668.83100000000002</v>
      </c>
    </row>
    <row r="12" spans="1:23">
      <c r="A12" s="4" t="s">
        <v>145</v>
      </c>
      <c r="B12" s="4">
        <v>37.994999999999997</v>
      </c>
      <c r="C12" s="4">
        <v>36.823999999999998</v>
      </c>
      <c r="D12" s="4">
        <v>32.404000000000003</v>
      </c>
      <c r="E12" s="4">
        <v>31.698</v>
      </c>
      <c r="F12" s="4">
        <v>33.366</v>
      </c>
      <c r="G12" s="4">
        <v>33.677</v>
      </c>
      <c r="I12" s="4" t="s">
        <v>202</v>
      </c>
      <c r="J12" s="4">
        <v>34.378</v>
      </c>
      <c r="K12" s="4">
        <v>10.44</v>
      </c>
      <c r="L12" s="4">
        <v>3.2000000000000001E-2</v>
      </c>
      <c r="M12" s="4">
        <v>3.9E-2</v>
      </c>
      <c r="N12" s="4">
        <v>5.1999999999999998E-2</v>
      </c>
      <c r="O12" s="4">
        <v>0.91400000000000003</v>
      </c>
      <c r="Q12" s="30" t="s">
        <v>179</v>
      </c>
      <c r="R12" s="4"/>
      <c r="S12" s="4"/>
      <c r="T12" s="4"/>
      <c r="U12" s="4"/>
      <c r="V12" s="4"/>
    </row>
    <row r="13" spans="1:23">
      <c r="A13" s="4" t="s">
        <v>18</v>
      </c>
      <c r="B13" s="50">
        <v>72.08</v>
      </c>
      <c r="C13" s="50">
        <v>138.399</v>
      </c>
      <c r="D13" s="50">
        <v>47.804000000000002</v>
      </c>
      <c r="E13" s="50">
        <v>51.664000000000001</v>
      </c>
      <c r="F13" s="50">
        <v>65.125</v>
      </c>
      <c r="G13" s="50">
        <v>38.649000000000001</v>
      </c>
      <c r="I13" s="4" t="s">
        <v>157</v>
      </c>
      <c r="J13" s="4">
        <v>99.763999999999996</v>
      </c>
      <c r="K13" s="4">
        <v>144.66399999999999</v>
      </c>
      <c r="L13" s="4">
        <v>90.033000000000001</v>
      </c>
      <c r="M13" s="4">
        <v>102.72499999999999</v>
      </c>
      <c r="N13" s="4">
        <v>103.194</v>
      </c>
      <c r="O13" s="4">
        <v>98.533000000000001</v>
      </c>
      <c r="Q13" s="4" t="s">
        <v>180</v>
      </c>
      <c r="R13" s="4">
        <v>-109.878</v>
      </c>
      <c r="S13" s="4">
        <v>-76.483000000000004</v>
      </c>
      <c r="T13" s="4">
        <v>-99.03</v>
      </c>
      <c r="U13" s="4">
        <v>-119.56699999999999</v>
      </c>
      <c r="V13" s="4">
        <v>-163.01499999999999</v>
      </c>
      <c r="W13" s="4">
        <v>-137.28299999999999</v>
      </c>
    </row>
    <row r="14" spans="1:23">
      <c r="A14" s="4" t="s">
        <v>148</v>
      </c>
      <c r="B14" s="4">
        <v>11.212999999999999</v>
      </c>
      <c r="C14" s="4">
        <v>-15.218</v>
      </c>
      <c r="D14" s="4">
        <v>5.1639999999999997</v>
      </c>
      <c r="E14" s="4">
        <v>6.7839999999999998</v>
      </c>
      <c r="F14" s="4">
        <v>14.468</v>
      </c>
      <c r="G14" s="4">
        <v>3.109</v>
      </c>
      <c r="I14" s="4" t="s">
        <v>158</v>
      </c>
      <c r="J14" s="4">
        <v>622.14300000000003</v>
      </c>
      <c r="K14" s="4">
        <v>557.10199999999998</v>
      </c>
      <c r="L14" s="4">
        <v>646.75800000000004</v>
      </c>
      <c r="M14" s="4">
        <v>640.98299999999995</v>
      </c>
      <c r="N14" s="4">
        <v>545.65300000000002</v>
      </c>
      <c r="O14" s="4">
        <v>575.25900000000001</v>
      </c>
      <c r="Q14" s="4" t="s">
        <v>181</v>
      </c>
      <c r="R14" s="4">
        <v>0</v>
      </c>
      <c r="S14" s="4">
        <v>0</v>
      </c>
      <c r="T14" s="4">
        <v>0</v>
      </c>
      <c r="U14" s="4">
        <v>0</v>
      </c>
      <c r="V14" s="4">
        <v>-8.1679999999999993</v>
      </c>
      <c r="W14" s="4">
        <v>-16.617999999999999</v>
      </c>
    </row>
    <row r="15" spans="1:23" ht="15" thickBot="1">
      <c r="A15" s="4" t="s">
        <v>149</v>
      </c>
      <c r="B15" s="63">
        <v>60.866999999999997</v>
      </c>
      <c r="C15" s="63">
        <v>153.61699999999999</v>
      </c>
      <c r="D15" s="63">
        <v>42.64</v>
      </c>
      <c r="E15" s="63">
        <v>44.88</v>
      </c>
      <c r="F15" s="63">
        <v>50.656999999999996</v>
      </c>
      <c r="G15" s="63">
        <v>35.54</v>
      </c>
      <c r="I15" s="4" t="s">
        <v>159</v>
      </c>
      <c r="J15" s="50">
        <v>802.29300000000001</v>
      </c>
      <c r="K15" s="50">
        <v>769.48400000000004</v>
      </c>
      <c r="L15" s="50">
        <v>792.447</v>
      </c>
      <c r="M15" s="50">
        <v>796.39800000000002</v>
      </c>
      <c r="N15" s="50">
        <v>703.18100000000004</v>
      </c>
      <c r="O15" s="50">
        <v>731.65099999999995</v>
      </c>
      <c r="Q15" s="4" t="s">
        <v>182</v>
      </c>
      <c r="R15" s="4">
        <v>0.29899999999999999</v>
      </c>
      <c r="S15" s="4">
        <v>0.14199999999999999</v>
      </c>
      <c r="T15" s="4">
        <v>3.1E-2</v>
      </c>
      <c r="U15" s="4">
        <v>0.76200000000000001</v>
      </c>
      <c r="V15" s="4">
        <v>9.2999999999999999E-2</v>
      </c>
      <c r="W15" s="4">
        <v>8.5999999999999993E-2</v>
      </c>
    </row>
    <row r="16" spans="1:23" ht="15.5" thickTop="1" thickBot="1">
      <c r="A16" s="4"/>
      <c r="B16" s="66"/>
      <c r="C16" s="66"/>
      <c r="D16" s="66"/>
      <c r="E16" s="66"/>
      <c r="F16" s="66"/>
      <c r="G16" s="66"/>
      <c r="I16" s="30" t="s">
        <v>173</v>
      </c>
      <c r="J16" s="65">
        <f t="shared" ref="J16:O16" si="0">J9+J15</f>
        <v>2448.0390000000002</v>
      </c>
      <c r="K16" s="65">
        <f t="shared" si="0"/>
        <v>2337.268</v>
      </c>
      <c r="L16" s="65">
        <f t="shared" si="0"/>
        <v>2302.5450000000001</v>
      </c>
      <c r="M16" s="65">
        <f t="shared" si="0"/>
        <v>2247.8110000000001</v>
      </c>
      <c r="N16" s="65">
        <f t="shared" si="0"/>
        <v>2105.3289999999997</v>
      </c>
      <c r="O16" s="65">
        <f t="shared" si="0"/>
        <v>2171.587</v>
      </c>
      <c r="Q16" s="4" t="s">
        <v>183</v>
      </c>
      <c r="R16" s="4">
        <v>-6.5110000000000001</v>
      </c>
      <c r="S16" s="4">
        <v>6.5110000000000001</v>
      </c>
      <c r="T16" s="4">
        <v>-60</v>
      </c>
      <c r="U16" s="4">
        <v>-102.661</v>
      </c>
      <c r="V16" s="4">
        <v>-207.47499999999999</v>
      </c>
      <c r="W16" s="4">
        <v>-266.048</v>
      </c>
    </row>
    <row r="17" spans="8:23" ht="15" thickTop="1">
      <c r="I17" s="30" t="s">
        <v>160</v>
      </c>
      <c r="J17" s="4"/>
      <c r="K17" s="4"/>
      <c r="L17" s="4"/>
      <c r="M17" s="4"/>
      <c r="N17" s="4"/>
      <c r="O17" s="4"/>
      <c r="Q17" s="4" t="s">
        <v>184</v>
      </c>
      <c r="R17" s="4">
        <v>0</v>
      </c>
      <c r="S17" s="4">
        <v>0</v>
      </c>
      <c r="T17" s="4">
        <v>0</v>
      </c>
      <c r="U17" s="4">
        <v>60</v>
      </c>
      <c r="V17" s="4">
        <v>102.661</v>
      </c>
      <c r="W17" s="4">
        <v>207.47499999999999</v>
      </c>
    </row>
    <row r="18" spans="8:23">
      <c r="H18" s="4"/>
      <c r="I18" s="4" t="s">
        <v>161</v>
      </c>
      <c r="J18" s="4">
        <v>359.77800000000002</v>
      </c>
      <c r="K18" s="4">
        <v>344.428</v>
      </c>
      <c r="L18" s="4">
        <v>400.536</v>
      </c>
      <c r="M18" s="4">
        <v>435.00900000000001</v>
      </c>
      <c r="N18" s="4">
        <v>402.51</v>
      </c>
      <c r="O18" s="4">
        <v>425.46899999999999</v>
      </c>
      <c r="Q18" s="4" t="s">
        <v>205</v>
      </c>
      <c r="R18" s="4">
        <v>4.74</v>
      </c>
      <c r="S18" s="4">
        <v>19.047000000000001</v>
      </c>
      <c r="T18" s="4">
        <v>2.2679999999999998</v>
      </c>
      <c r="U18" s="4">
        <v>0.628</v>
      </c>
      <c r="V18" s="4">
        <v>0</v>
      </c>
      <c r="W18" s="4">
        <v>0</v>
      </c>
    </row>
    <row r="19" spans="8:23">
      <c r="I19" s="4" t="s">
        <v>162</v>
      </c>
      <c r="J19" s="4">
        <v>433.32</v>
      </c>
      <c r="K19" s="4">
        <v>410.072</v>
      </c>
      <c r="L19" s="4">
        <v>393.57499999999999</v>
      </c>
      <c r="M19" s="4">
        <v>389.911</v>
      </c>
      <c r="N19" s="4">
        <v>372.43</v>
      </c>
      <c r="O19" s="4">
        <v>365.226</v>
      </c>
      <c r="Q19" s="30" t="s">
        <v>185</v>
      </c>
      <c r="R19" s="57">
        <v>-111.35</v>
      </c>
      <c r="S19" s="57">
        <v>-50.783000000000001</v>
      </c>
      <c r="T19" s="57">
        <v>-156.73099999999999</v>
      </c>
      <c r="U19" s="57">
        <v>-160.83799999999999</v>
      </c>
      <c r="V19" s="57">
        <v>-275.904</v>
      </c>
      <c r="W19" s="57">
        <v>-212.38800000000001</v>
      </c>
    </row>
    <row r="20" spans="8:23">
      <c r="I20" s="4" t="s">
        <v>163</v>
      </c>
      <c r="J20" s="4">
        <v>0</v>
      </c>
      <c r="K20" s="4">
        <v>0</v>
      </c>
      <c r="L20" s="4">
        <v>0</v>
      </c>
      <c r="M20" s="4">
        <v>0</v>
      </c>
      <c r="N20" s="4">
        <v>5.4189999999999996</v>
      </c>
      <c r="O20" s="4">
        <v>0.22700000000000001</v>
      </c>
      <c r="Q20" s="30" t="s">
        <v>186</v>
      </c>
      <c r="R20" s="4"/>
      <c r="S20" s="4"/>
      <c r="T20" s="4"/>
      <c r="U20" s="4"/>
      <c r="V20" s="4"/>
      <c r="W20" s="4"/>
    </row>
    <row r="21" spans="8:23">
      <c r="I21" s="4" t="s">
        <v>203</v>
      </c>
      <c r="J21" s="4">
        <v>79.44</v>
      </c>
      <c r="K21" s="4">
        <v>74.74199999999999</v>
      </c>
      <c r="L21" s="4">
        <v>72.552999999999997</v>
      </c>
      <c r="M21" s="4">
        <v>61.005000000000003</v>
      </c>
      <c r="N21" s="4">
        <v>65.978999999999999</v>
      </c>
      <c r="O21" s="4">
        <v>59.67</v>
      </c>
      <c r="Q21" s="4" t="s">
        <v>189</v>
      </c>
      <c r="R21" s="4">
        <v>-424.97399999999999</v>
      </c>
      <c r="S21" s="4">
        <v>-427.548</v>
      </c>
      <c r="T21" s="4">
        <v>-413.86799999999999</v>
      </c>
      <c r="U21" s="4">
        <v>-431.35500000000002</v>
      </c>
      <c r="V21" s="4">
        <v>-436.63299999999998</v>
      </c>
      <c r="W21" s="4">
        <v>-425.096</v>
      </c>
    </row>
    <row r="22" spans="8:23">
      <c r="I22" s="4" t="s">
        <v>164</v>
      </c>
      <c r="J22" s="50">
        <v>811.90200000000004</v>
      </c>
      <c r="K22" s="50">
        <v>782.322</v>
      </c>
      <c r="L22" s="50">
        <v>817.22400000000005</v>
      </c>
      <c r="M22" s="50">
        <v>858.34299999999996</v>
      </c>
      <c r="N22" s="50">
        <v>812.65899999999999</v>
      </c>
      <c r="O22" s="50">
        <v>819.57299999999998</v>
      </c>
      <c r="Q22" s="4" t="s">
        <v>194</v>
      </c>
      <c r="R22" s="4">
        <v>-36.823999999999998</v>
      </c>
      <c r="S22" s="4">
        <v>-32.404000000000003</v>
      </c>
      <c r="T22" s="4">
        <v>-31.698</v>
      </c>
      <c r="U22" s="4">
        <v>-33.366</v>
      </c>
      <c r="V22" s="4">
        <v>-33.677</v>
      </c>
      <c r="W22" s="4">
        <v>-32.637999999999998</v>
      </c>
    </row>
    <row r="23" spans="8:23">
      <c r="I23" s="30" t="s">
        <v>165</v>
      </c>
      <c r="J23" s="4"/>
      <c r="K23" s="4"/>
      <c r="L23" s="4"/>
      <c r="M23" s="4"/>
      <c r="N23" s="4"/>
      <c r="O23" s="4"/>
      <c r="Q23" s="4" t="s">
        <v>41</v>
      </c>
      <c r="R23" s="4">
        <v>-103.627</v>
      </c>
      <c r="S23" s="4">
        <v>-110.119</v>
      </c>
      <c r="T23" s="4">
        <v>-75.141000000000005</v>
      </c>
      <c r="U23" s="4">
        <v>-72.549000000000007</v>
      </c>
      <c r="V23" s="4">
        <v>-45.344000000000001</v>
      </c>
      <c r="W23" s="4">
        <v>-28.501999999999999</v>
      </c>
    </row>
    <row r="24" spans="8:23">
      <c r="I24" s="4" t="s">
        <v>166</v>
      </c>
      <c r="J24" s="4">
        <v>785.22199999999998</v>
      </c>
      <c r="K24" s="4">
        <v>776.15800000000002</v>
      </c>
      <c r="L24" s="4">
        <v>732.87800000000004</v>
      </c>
      <c r="M24" s="4">
        <v>652.27</v>
      </c>
      <c r="N24" s="4">
        <v>565.70000000000005</v>
      </c>
      <c r="O24" s="4">
        <v>580.18799999999999</v>
      </c>
      <c r="Q24" s="4" t="s">
        <v>187</v>
      </c>
      <c r="R24" s="4">
        <v>0</v>
      </c>
      <c r="S24" s="4">
        <v>0</v>
      </c>
      <c r="T24" s="4">
        <v>0</v>
      </c>
      <c r="U24" s="4">
        <v>4.9649999999999999</v>
      </c>
      <c r="V24" s="4">
        <v>23.954000000000001</v>
      </c>
      <c r="W24" s="4">
        <v>31.792999999999999</v>
      </c>
    </row>
    <row r="25" spans="8:23">
      <c r="I25" s="4" t="s">
        <v>204</v>
      </c>
      <c r="J25" s="4">
        <v>73.079000000000008</v>
      </c>
      <c r="K25" s="4">
        <v>64.551999999999992</v>
      </c>
      <c r="L25" s="4">
        <v>71.814000000000007</v>
      </c>
      <c r="M25" s="4">
        <v>76.793000000000006</v>
      </c>
      <c r="N25" s="4">
        <v>74.935000000000002</v>
      </c>
      <c r="O25" s="4">
        <v>97.763999999999982</v>
      </c>
      <c r="Q25" s="4" t="s">
        <v>188</v>
      </c>
      <c r="R25" s="4">
        <v>0</v>
      </c>
      <c r="S25" s="4">
        <v>0</v>
      </c>
      <c r="T25" s="4">
        <v>0</v>
      </c>
      <c r="U25" s="4">
        <v>-4.9649999999999999</v>
      </c>
      <c r="V25" s="4">
        <v>-18.535</v>
      </c>
      <c r="W25" s="4">
        <v>-31.905999999999999</v>
      </c>
    </row>
    <row r="26" spans="8:23">
      <c r="I26" s="4" t="s">
        <v>167</v>
      </c>
      <c r="J26" s="4">
        <v>0</v>
      </c>
      <c r="K26" s="4">
        <v>0</v>
      </c>
      <c r="L26" s="4">
        <v>0</v>
      </c>
      <c r="M26" s="4">
        <v>0</v>
      </c>
      <c r="N26" s="4">
        <v>0</v>
      </c>
      <c r="O26" s="4">
        <v>5.3369999999999997</v>
      </c>
      <c r="Q26" s="30" t="s">
        <v>190</v>
      </c>
      <c r="R26" s="57">
        <v>-565.42499999999995</v>
      </c>
      <c r="S26" s="57">
        <v>-569.73400000000004</v>
      </c>
      <c r="T26" s="57">
        <v>-520.70699999999999</v>
      </c>
      <c r="U26" s="57">
        <v>-537.27</v>
      </c>
      <c r="V26" s="57">
        <v>-510.23500000000001</v>
      </c>
      <c r="W26" s="57">
        <v>-486.34899999999999</v>
      </c>
    </row>
    <row r="27" spans="8:23">
      <c r="I27" s="4" t="s">
        <v>168</v>
      </c>
      <c r="J27" s="50">
        <v>858.30100000000004</v>
      </c>
      <c r="K27" s="50">
        <v>840.71</v>
      </c>
      <c r="L27" s="50">
        <v>804.69200000000001</v>
      </c>
      <c r="M27" s="50">
        <v>729.06299999999999</v>
      </c>
      <c r="N27" s="50">
        <v>640.63499999999999</v>
      </c>
      <c r="O27" s="50">
        <v>683.28899999999999</v>
      </c>
    </row>
    <row r="28" spans="8:23">
      <c r="I28" s="30" t="s">
        <v>169</v>
      </c>
      <c r="J28" s="4"/>
      <c r="K28" s="4"/>
      <c r="L28" s="4"/>
      <c r="M28" s="4"/>
      <c r="N28" s="4"/>
      <c r="O28" s="4"/>
    </row>
    <row r="29" spans="8:23">
      <c r="I29" s="4" t="s">
        <v>170</v>
      </c>
      <c r="J29" s="4">
        <v>129.53299999999999</v>
      </c>
      <c r="K29" s="4">
        <v>129.553</v>
      </c>
      <c r="L29" s="4">
        <v>129.553</v>
      </c>
      <c r="M29" s="4">
        <v>129.553</v>
      </c>
      <c r="N29" s="4">
        <v>129.553</v>
      </c>
      <c r="O29" s="4">
        <v>129.553</v>
      </c>
    </row>
    <row r="30" spans="8:23">
      <c r="I30" s="4" t="s">
        <v>171</v>
      </c>
      <c r="J30" s="4">
        <v>648.303</v>
      </c>
      <c r="K30" s="4">
        <v>584.68299999999999</v>
      </c>
      <c r="L30" s="4">
        <v>551.07600000000002</v>
      </c>
      <c r="M30" s="4">
        <v>530.85199999999998</v>
      </c>
      <c r="N30" s="4">
        <v>522.48199999999997</v>
      </c>
      <c r="O30" s="4">
        <v>539.17200000000003</v>
      </c>
    </row>
    <row r="31" spans="8:23">
      <c r="I31" s="4" t="s">
        <v>172</v>
      </c>
      <c r="J31" s="50">
        <v>777.83600000000001</v>
      </c>
      <c r="K31" s="50">
        <v>714.23599999999999</v>
      </c>
      <c r="L31" s="50">
        <v>680.62900000000002</v>
      </c>
      <c r="M31" s="50">
        <v>660.40499999999997</v>
      </c>
      <c r="N31" s="50">
        <v>652.03499999999997</v>
      </c>
      <c r="O31" s="50">
        <v>668.72500000000002</v>
      </c>
    </row>
    <row r="32" spans="8:23" ht="15" thickBot="1">
      <c r="I32" s="30" t="s">
        <v>174</v>
      </c>
      <c r="J32" s="65">
        <f t="shared" ref="J32:O32" si="1">J22+J27+J31</f>
        <v>2448.0389999999998</v>
      </c>
      <c r="K32" s="65">
        <f t="shared" si="1"/>
        <v>2337.268</v>
      </c>
      <c r="L32" s="65">
        <f t="shared" si="1"/>
        <v>2302.5450000000001</v>
      </c>
      <c r="M32" s="65">
        <f t="shared" si="1"/>
        <v>2247.8109999999997</v>
      </c>
      <c r="N32" s="65">
        <f t="shared" si="1"/>
        <v>2105.3289999999997</v>
      </c>
      <c r="O32" s="65">
        <f t="shared" si="1"/>
        <v>2171.587</v>
      </c>
    </row>
    <row r="33" spans="1:1" ht="15" thickTop="1">
      <c r="A33" s="105" t="s">
        <v>219</v>
      </c>
    </row>
    <row r="63" spans="9:10">
      <c r="I63" s="64"/>
      <c r="J63" s="64"/>
    </row>
    <row r="76" spans="12:17">
      <c r="L76" s="64"/>
      <c r="M76" s="64"/>
      <c r="N76" s="64"/>
      <c r="O76" s="64"/>
      <c r="P76" s="64"/>
    </row>
    <row r="79" spans="12:17">
      <c r="L79" s="64"/>
      <c r="M79" s="64"/>
      <c r="N79" s="64"/>
      <c r="O79" s="64"/>
      <c r="P79" s="64"/>
      <c r="Q79" s="6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9696-F19B-48C5-8712-64BB647A846E}">
  <dimension ref="A1:AK205"/>
  <sheetViews>
    <sheetView topLeftCell="A175" zoomScale="90" zoomScaleNormal="90" workbookViewId="0">
      <selection activeCell="A205" sqref="A205"/>
    </sheetView>
  </sheetViews>
  <sheetFormatPr defaultRowHeight="14"/>
  <cols>
    <col min="1" max="1" width="38.81640625" style="4" customWidth="1"/>
    <col min="2" max="2" width="8.08984375" style="4" bestFit="1" customWidth="1"/>
    <col min="3" max="17" width="8.453125" style="4" customWidth="1"/>
    <col min="18" max="16384" width="8.7265625" style="4"/>
  </cols>
  <sheetData>
    <row r="1" spans="1:17" ht="17.5">
      <c r="A1" s="3" t="s">
        <v>65</v>
      </c>
      <c r="B1" s="3"/>
    </row>
    <row r="2" spans="1:17">
      <c r="A2" s="4" t="s">
        <v>11</v>
      </c>
      <c r="C2" s="91" t="s">
        <v>12</v>
      </c>
      <c r="D2" s="92"/>
      <c r="E2" s="92"/>
      <c r="F2" s="92"/>
      <c r="G2" s="93"/>
      <c r="H2" s="91" t="s">
        <v>13</v>
      </c>
      <c r="I2" s="92"/>
      <c r="J2" s="92"/>
      <c r="K2" s="92"/>
      <c r="L2" s="93"/>
      <c r="M2" s="91" t="s">
        <v>14</v>
      </c>
      <c r="N2" s="92"/>
      <c r="O2" s="92"/>
      <c r="P2" s="92"/>
      <c r="Q2" s="93"/>
    </row>
    <row r="3" spans="1:17">
      <c r="B3" s="61" t="s">
        <v>63</v>
      </c>
      <c r="C3" s="61">
        <v>2022</v>
      </c>
      <c r="D3" s="61">
        <v>2023</v>
      </c>
      <c r="E3" s="61">
        <v>2024</v>
      </c>
      <c r="F3" s="61">
        <v>2025</v>
      </c>
      <c r="G3" s="61">
        <v>2026</v>
      </c>
      <c r="H3" s="61">
        <v>2022</v>
      </c>
      <c r="I3" s="61">
        <v>2023</v>
      </c>
      <c r="J3" s="61">
        <v>2024</v>
      </c>
      <c r="K3" s="61">
        <v>2025</v>
      </c>
      <c r="L3" s="61">
        <v>2026</v>
      </c>
      <c r="M3" s="61">
        <v>2022</v>
      </c>
      <c r="N3" s="61">
        <v>2023</v>
      </c>
      <c r="O3" s="61">
        <v>2024</v>
      </c>
      <c r="P3" s="61">
        <v>2025</v>
      </c>
      <c r="Q3" s="61">
        <v>2026</v>
      </c>
    </row>
    <row r="4" spans="1:17">
      <c r="B4" s="81" t="s">
        <v>59</v>
      </c>
      <c r="C4" s="69">
        <f>D53/D46</f>
        <v>1.4795578814563237E-2</v>
      </c>
      <c r="D4" s="70">
        <f>E53/E46</f>
        <v>1.484052388901087E-2</v>
      </c>
      <c r="E4" s="70">
        <f>F53/F46</f>
        <v>1.6148503624702614E-2</v>
      </c>
      <c r="F4" s="70">
        <f>G53/G46</f>
        <v>1.1464257258707061E-2</v>
      </c>
      <c r="G4" s="71">
        <f>H53/H46</f>
        <v>1.3411509049702936E-2</v>
      </c>
      <c r="H4" s="75">
        <f>D46/((D56+D60+C56+C60)/2)</f>
        <v>1.2044961796599467</v>
      </c>
      <c r="I4" s="76">
        <f>E46/((E56+E60+D56+D60)/2)</f>
        <v>1.303566329074038</v>
      </c>
      <c r="J4" s="76">
        <f>F46/((F56+F60+E56+E60)/2)</f>
        <v>1.3787699248146739</v>
      </c>
      <c r="K4" s="76">
        <f>G46/((G56+G60+F56+F60)/2)</f>
        <v>1.4242914310130161</v>
      </c>
      <c r="L4" s="77">
        <f>H46/((H56+H60+G56+G60)/2)</f>
        <v>1.4490960308783247</v>
      </c>
      <c r="M4" s="75">
        <f>(((D56+D60+C56+C60)/2))/((D66+C66)/2)</f>
        <v>3.2071555528151454</v>
      </c>
      <c r="N4" s="76">
        <f>(((E56+E60+D56+D60)/2))/((E66+D66)/2)</f>
        <v>3.3263527294756123</v>
      </c>
      <c r="O4" s="76">
        <f>(((F56+F60+E56+E60)/2))/((F66+E66)/2)</f>
        <v>3.393169748119734</v>
      </c>
      <c r="P4" s="76">
        <f>(((G56+G60+F56+F60)/2))/((G66+F66)/2)</f>
        <v>3.3168297217396598</v>
      </c>
      <c r="Q4" s="77">
        <f>(((H56+H60+G56+G60)/2))/((H66+G66)/2)</f>
        <v>3.2382234471062112</v>
      </c>
    </row>
    <row r="5" spans="1:17">
      <c r="B5" s="81" t="s">
        <v>64</v>
      </c>
      <c r="C5" s="69">
        <f>D84/D76</f>
        <v>3.0431151484141246E-3</v>
      </c>
      <c r="D5" s="70">
        <f>E84/E76</f>
        <v>1.385672860218613E-2</v>
      </c>
      <c r="E5" s="70">
        <f>F84/F76</f>
        <v>3.8338256371290902E-2</v>
      </c>
      <c r="F5" s="70">
        <f>G84/G76</f>
        <v>2.7439577690694685E-2</v>
      </c>
      <c r="G5" s="71">
        <f>H84/H76</f>
        <v>2.0322020524387755E-2</v>
      </c>
      <c r="H5" s="75">
        <f>D76/((D88+D93+C88+C93)/2)</f>
        <v>1.0706509576609848</v>
      </c>
      <c r="I5" s="76">
        <f>E76/((E88+E93+D88+D93)/2)</f>
        <v>1.1424414825859073</v>
      </c>
      <c r="J5" s="76">
        <f>F76/((F88+F93+E88+E93)/2)</f>
        <v>1.2698197653285086</v>
      </c>
      <c r="K5" s="76">
        <f>G76/((G88+G93+F88+F93)/2)</f>
        <v>1.3715721768756812</v>
      </c>
      <c r="L5" s="77">
        <f>H76/((H88+H93+G88+G93)/2)</f>
        <v>1.3927829471745707</v>
      </c>
      <c r="M5" s="75">
        <f>(((D88+D93+C88+C93)/2))/((D95+C95)/2)</f>
        <v>2.3931089679062967</v>
      </c>
      <c r="N5" s="76">
        <f>(((E88+E93+D88+D93)/2))/((E95+D95)/2)</f>
        <v>2.5001937370860481</v>
      </c>
      <c r="O5" s="76">
        <f>(((F88+F93+E88+E93)/2))/((F95+E95)/2)</f>
        <v>2.4005403873617821</v>
      </c>
      <c r="P5" s="76">
        <f>(((G88+G93+F88+F93)/2))/((G95+F95)/2)</f>
        <v>2.2093021898770502</v>
      </c>
      <c r="Q5" s="77">
        <f>(((H88+H93+G88+G93)/2))/((H95+G95)/2)</f>
        <v>2.146971746631031</v>
      </c>
    </row>
    <row r="6" spans="1:17">
      <c r="B6" s="81" t="s">
        <v>60</v>
      </c>
      <c r="C6" s="69">
        <f>D115/D108</f>
        <v>0.12488271701881763</v>
      </c>
      <c r="D6" s="70">
        <f>E115/E108</f>
        <v>6.6067862619517456E-2</v>
      </c>
      <c r="E6" s="70">
        <f>F115/F108</f>
        <v>3.4555112102359432E-2</v>
      </c>
      <c r="F6" s="70">
        <f>G115/G108</f>
        <v>1.2559048165643901E-2</v>
      </c>
      <c r="G6" s="71">
        <f>H115/H108</f>
        <v>8.4738371269829586E-3</v>
      </c>
      <c r="H6" s="75">
        <f>D108/((D119+D124+C119+C124)/2)</f>
        <v>0.70444613702220726</v>
      </c>
      <c r="I6" s="76">
        <f>E108/((E119+E124+D119+D124)/2)</f>
        <v>0.73307340250665531</v>
      </c>
      <c r="J6" s="76">
        <f>F108/((F119+F124+E119+E124)/2)</f>
        <v>0.98876288056175743</v>
      </c>
      <c r="K6" s="76">
        <f>G108/((G119+G124+F119+F124)/2)</f>
        <v>1.0546158649825372</v>
      </c>
      <c r="L6" s="77">
        <f>H108/((H119+H124+G119+G124)/2)</f>
        <v>1.0405777405577621</v>
      </c>
      <c r="M6" s="75">
        <f>(((D119+D124+C119+C124)/2))/((D131+C131)/2)</f>
        <v>2.5096406695920463</v>
      </c>
      <c r="N6" s="76">
        <f>(((E119+E124+D119+D124)/2))/((E131+D131)/2)</f>
        <v>2.2160559925706895</v>
      </c>
      <c r="O6" s="76">
        <f>(((F119+F124+E119+E124)/2))/((F131+E131)/2)</f>
        <v>1.8930772143281736</v>
      </c>
      <c r="P6" s="76">
        <f>(((G119+G124+F119+F124)/2))/((G131+F131)/2)</f>
        <v>1.8554894069192218</v>
      </c>
      <c r="Q6" s="77">
        <f>(((H119+H124+G119+G124)/2))/((H131+G131)/2)</f>
        <v>1.8876194629327003</v>
      </c>
    </row>
    <row r="7" spans="1:17">
      <c r="B7" s="81" t="s">
        <v>61</v>
      </c>
      <c r="C7" s="69">
        <f>D147/D140</f>
        <v>9.0263839049061087E-2</v>
      </c>
      <c r="D7" s="70">
        <f>E147/E140</f>
        <v>7.3088785402747838E-2</v>
      </c>
      <c r="E7" s="70">
        <f>F147/F140</f>
        <v>6.8974780912160444E-2</v>
      </c>
      <c r="F7" s="70">
        <f>G147/G140</f>
        <v>3.0361972439185144E-2</v>
      </c>
      <c r="G7" s="71">
        <f>H147/H140</f>
        <v>1.5276804225719406E-3</v>
      </c>
      <c r="H7" s="75">
        <f>D140/((D150+D155+C150+C155)/2)</f>
        <v>1.3033141869036331</v>
      </c>
      <c r="I7" s="76">
        <f>E140/((E150+E155+D150+D155)/2)</f>
        <v>1.3041287349328501</v>
      </c>
      <c r="J7" s="76">
        <f>F140/((F150+F155+E150+E155)/2)</f>
        <v>1.5897607024590923</v>
      </c>
      <c r="K7" s="76">
        <f>G140/((G150+G155+F150+F155)/2)</f>
        <v>1.3663988840991241</v>
      </c>
      <c r="L7" s="77">
        <f>H140/((H150+H155+G150+G155)/2)</f>
        <v>1.4587117103992315</v>
      </c>
      <c r="M7" s="75">
        <f>(((D150+D155+C150+C155)/2))/((D162+C162)/2)</f>
        <v>1.9267235196867631</v>
      </c>
      <c r="N7" s="76">
        <f>(((E150+E155+D150+D155)/2))/((E162+D162)/2)</f>
        <v>2.0646486825993193</v>
      </c>
      <c r="O7" s="76">
        <f>(((F150+F155+E150+E155)/2))/((F162+E162)/2)</f>
        <v>2.2722061821252808</v>
      </c>
      <c r="P7" s="76">
        <f>(((G150+G155+F150+F155)/2))/((G162+F162)/2)</f>
        <v>2.9148380453804843</v>
      </c>
      <c r="Q7" s="77">
        <f>(((H150+H155+G150+G155)/2))/((H162+G162)/2)</f>
        <v>3.1719687990723582</v>
      </c>
    </row>
    <row r="8" spans="1:17">
      <c r="B8" s="82" t="s">
        <v>62</v>
      </c>
      <c r="C8" s="72">
        <f>D181/D173</f>
        <v>3.005174554140258E-2</v>
      </c>
      <c r="D8" s="73">
        <f>E181/E173</f>
        <v>1.6101430714953763E-2</v>
      </c>
      <c r="E8" s="73">
        <f>F181/F173</f>
        <v>2.9218619094126295E-2</v>
      </c>
      <c r="F8" s="73">
        <f>G181/G173</f>
        <v>1.9043704741925311E-2</v>
      </c>
      <c r="G8" s="74">
        <f>H181/H173</f>
        <v>3.0549993712015985E-2</v>
      </c>
      <c r="H8" s="78">
        <f>D173/((D185+D189+C185+C189)/2)</f>
        <v>1.0659520738856731</v>
      </c>
      <c r="I8" s="79">
        <f>E173/((E185+E189+D185+D189)/2)</f>
        <v>1.018830630203807</v>
      </c>
      <c r="J8" s="79">
        <f>F173/((F185+F189+E185+E189)/2)</f>
        <v>1.2610191703206008</v>
      </c>
      <c r="K8" s="79">
        <f>G173/((G185+G189+F185+F189)/2)</f>
        <v>1.3030296853072048</v>
      </c>
      <c r="L8" s="80">
        <f>H173/((H185+H189+G185+G189)/2)</f>
        <v>1.4431438843199351</v>
      </c>
      <c r="M8" s="78">
        <f>(((D185+D189+C185+C189)/2))/((D197+C197)/2)</f>
        <v>2.7331931557853077</v>
      </c>
      <c r="N8" s="79">
        <f>(((E185+E189+D185+D189)/2))/((E197+D197)/2)</f>
        <v>2.5612502097209049</v>
      </c>
      <c r="O8" s="79">
        <f>(((F185+F189+E185+E189)/2))/((F197+E197)/2)</f>
        <v>2.6262998023424018</v>
      </c>
      <c r="P8" s="79">
        <f>(((G185+G189+F185+F189)/2))/((G197+F197)/2)</f>
        <v>2.631416160331554</v>
      </c>
      <c r="Q8" s="80">
        <f>(((H185+H189+G185+G189)/2))/((H197+G197)/2)</f>
        <v>2.6748517992455234</v>
      </c>
    </row>
    <row r="9" spans="1:17">
      <c r="C9" s="62"/>
      <c r="D9" s="62"/>
      <c r="E9" s="62"/>
      <c r="F9" s="62"/>
      <c r="G9" s="62"/>
      <c r="H9" s="37"/>
      <c r="I9" s="37"/>
      <c r="J9" s="37"/>
      <c r="K9" s="37"/>
      <c r="L9" s="37"/>
      <c r="M9" s="37"/>
      <c r="N9" s="37"/>
      <c r="O9" s="37"/>
      <c r="P9" s="37"/>
      <c r="Q9" s="37"/>
    </row>
    <row r="10" spans="1:17">
      <c r="A10" s="4" t="s">
        <v>15</v>
      </c>
      <c r="C10" s="91" t="s">
        <v>17</v>
      </c>
      <c r="D10" s="92"/>
      <c r="E10" s="92"/>
      <c r="F10" s="92"/>
      <c r="G10" s="93"/>
      <c r="H10" s="91" t="s">
        <v>19</v>
      </c>
      <c r="I10" s="92"/>
      <c r="J10" s="92"/>
      <c r="K10" s="92"/>
      <c r="L10" s="93"/>
      <c r="M10" s="91" t="s">
        <v>22</v>
      </c>
      <c r="N10" s="92"/>
      <c r="O10" s="92"/>
      <c r="P10" s="92"/>
      <c r="Q10" s="93"/>
    </row>
    <row r="11" spans="1:17">
      <c r="B11" s="61" t="s">
        <v>63</v>
      </c>
      <c r="C11" s="61">
        <v>2022</v>
      </c>
      <c r="D11" s="61">
        <v>2023</v>
      </c>
      <c r="E11" s="61">
        <v>2024</v>
      </c>
      <c r="F11" s="61">
        <v>2025</v>
      </c>
      <c r="G11" s="61">
        <v>2026</v>
      </c>
      <c r="H11" s="61">
        <v>2022</v>
      </c>
      <c r="I11" s="61">
        <v>2023</v>
      </c>
      <c r="J11" s="61">
        <v>2024</v>
      </c>
      <c r="K11" s="61">
        <v>2025</v>
      </c>
      <c r="L11" s="61">
        <v>2026</v>
      </c>
      <c r="M11" s="61">
        <v>2022</v>
      </c>
      <c r="N11" s="61">
        <v>2023</v>
      </c>
      <c r="O11" s="61">
        <v>2024</v>
      </c>
      <c r="P11" s="61">
        <v>2025</v>
      </c>
      <c r="Q11" s="61">
        <v>2026</v>
      </c>
    </row>
    <row r="12" spans="1:17">
      <c r="B12" s="81" t="s">
        <v>59</v>
      </c>
      <c r="C12" s="69">
        <f>D53/((D66+C66)/2)</f>
        <v>5.7155418773356781E-2</v>
      </c>
      <c r="D12" s="70">
        <f>E53/((E66+D66)/2)</f>
        <v>6.4350313471196144E-2</v>
      </c>
      <c r="E12" s="70">
        <f>F53/((F66+E66)/2)</f>
        <v>7.5549165792962739E-2</v>
      </c>
      <c r="F12" s="70">
        <f>G53/((G66+F66)/2)</f>
        <v>5.4158666300935659E-2</v>
      </c>
      <c r="G12" s="71">
        <f>H53/((H66+G66)/2)</f>
        <v>6.2933462551864078E-2</v>
      </c>
      <c r="H12" s="69">
        <f>D53/((D56+D60+C56+C60)/2)</f>
        <v>1.7821218157999058E-2</v>
      </c>
      <c r="I12" s="70">
        <f>E53/((E56+E60+D56+D60)/2)</f>
        <v>1.9345607247533467E-2</v>
      </c>
      <c r="J12" s="70">
        <f>F53/((F56+F60+E56+E60)/2)</f>
        <v>2.2265071128500714E-2</v>
      </c>
      <c r="K12" s="70">
        <f>G53/((G56+G60+F56+F60)/2)</f>
        <v>1.6328443376505238E-2</v>
      </c>
      <c r="L12" s="71">
        <f>H53/((H56+H60+G56+G60)/2)</f>
        <v>1.9434564532013258E-2</v>
      </c>
      <c r="M12" s="69">
        <f>(D49+D68)/D46</f>
        <v>0.20110952961579379</v>
      </c>
      <c r="N12" s="70">
        <f>(E49+E68)/E46</f>
        <v>0.18584482526010598</v>
      </c>
      <c r="O12" s="70">
        <f>(F49+F68)/F46</f>
        <v>0.19093213879609694</v>
      </c>
      <c r="P12" s="70">
        <f>(G49+G68)/G46</f>
        <v>0.19202534136325955</v>
      </c>
      <c r="Q12" s="71">
        <f>(H49+H68)/H46</f>
        <v>0.19422065933895716</v>
      </c>
    </row>
    <row r="13" spans="1:17">
      <c r="B13" s="81" t="s">
        <v>64</v>
      </c>
      <c r="C13" s="69">
        <f>D84/((D95+C95)/2)</f>
        <v>7.7970221858550768E-3</v>
      </c>
      <c r="D13" s="70">
        <f>E84/((E95+D95)/2)</f>
        <v>3.9579320875424651E-2</v>
      </c>
      <c r="E13" s="70">
        <f>F84/((F95+E95)/2)</f>
        <v>0.11686472920308295</v>
      </c>
      <c r="F13" s="70">
        <f>G84/((G95+F95)/2)</f>
        <v>8.3147886149663786E-2</v>
      </c>
      <c r="G13" s="71">
        <f>H84/((H95+G95)/2)</f>
        <v>6.0768239643878487E-2</v>
      </c>
      <c r="H13" s="69">
        <f>D84/((D88+D93+C88+C93)/2)</f>
        <v>3.2581141479222325E-3</v>
      </c>
      <c r="I13" s="70">
        <f>E84/((E88+E93+D88+D93)/2)</f>
        <v>1.5830501568072069E-2</v>
      </c>
      <c r="J13" s="70">
        <f>F84/((F88+F93+E88+E93)/2)</f>
        <v>4.8682675708496811E-2</v>
      </c>
      <c r="K13" s="70">
        <f>G84/((G88+G93+F88+F93)/2)</f>
        <v>3.7635361305775487E-2</v>
      </c>
      <c r="L13" s="71">
        <f>H84/((H88+H93+G88+G93)/2)</f>
        <v>2.8304163638498893E-2</v>
      </c>
      <c r="M13" s="69">
        <f>(D79+D105)/D76</f>
        <v>0.16530760833390043</v>
      </c>
      <c r="N13" s="70">
        <f>(E79+E105)/E76</f>
        <v>0.17211109510366593</v>
      </c>
      <c r="O13" s="70">
        <f>(F79+F105)/F76</f>
        <v>0.19013457940097214</v>
      </c>
      <c r="P13" s="70">
        <f>(G79+G105)/G76</f>
        <v>0.17676855326431085</v>
      </c>
      <c r="Q13" s="71">
        <f>(H79+H105)/H76</f>
        <v>0.16947742450547423</v>
      </c>
    </row>
    <row r="14" spans="1:17">
      <c r="B14" s="81" t="s">
        <v>60</v>
      </c>
      <c r="C14" s="69">
        <f>D115/((D131+C131)/2)</f>
        <v>0.22078098901069568</v>
      </c>
      <c r="D14" s="70">
        <f>E115/((E131+D131)/2)</f>
        <v>0.1073293376139582</v>
      </c>
      <c r="E14" s="70">
        <f>F115/((F131+E131)/2)</f>
        <v>6.4680413625065478E-2</v>
      </c>
      <c r="F14" s="70">
        <f>G115/((G131+F131)/2)</f>
        <v>2.4575904210343304E-2</v>
      </c>
      <c r="G14" s="71">
        <f>H115/((H131+G131)/2)</f>
        <v>1.6644436261776644E-2</v>
      </c>
      <c r="H14" s="69">
        <f>D115/((D119+D124+C119+C124)/2)</f>
        <v>8.7973147584743547E-2</v>
      </c>
      <c r="I14" s="70">
        <f>E115/((E119+E124+D119+D124)/2)</f>
        <v>4.8432592846831921E-2</v>
      </c>
      <c r="J14" s="70">
        <f>F115/((F119+F124+E119+E124)/2)</f>
        <v>3.4166812180463357E-2</v>
      </c>
      <c r="K14" s="70">
        <f>G115/((G119+G124+F119+F124)/2)</f>
        <v>1.3244971444567891E-2</v>
      </c>
      <c r="L14" s="71">
        <f>H115/((H119+H124+G119+G124)/2)</f>
        <v>8.8176862914504037E-3</v>
      </c>
      <c r="M14" s="69">
        <f>(D138+D110)/D108</f>
        <v>0.38645799356504024</v>
      </c>
      <c r="N14" s="70">
        <f>(E138+E110)/E108</f>
        <v>0.2971256696346759</v>
      </c>
      <c r="O14" s="70">
        <f>(F138+F110)/F108</f>
        <v>0.18863506783156975</v>
      </c>
      <c r="P14" s="70">
        <f>(G138+G110)/G108</f>
        <v>0.15963864730033997</v>
      </c>
      <c r="Q14" s="71">
        <f>(H138+H110)/H108</f>
        <v>0.16470235094893157</v>
      </c>
    </row>
    <row r="15" spans="1:17">
      <c r="B15" s="81" t="s">
        <v>61</v>
      </c>
      <c r="C15" s="69">
        <f>D147/((D162+C162)/2)</f>
        <v>0.22666388189200273</v>
      </c>
      <c r="D15" s="70">
        <f>E147/((E162+D162)/2)</f>
        <v>0.19679650094529685</v>
      </c>
      <c r="E15" s="70">
        <f>F147/((F162+E162)/2)</f>
        <v>0.24915512463414669</v>
      </c>
      <c r="F15" s="70">
        <f>G147/((G162+F162)/2)</f>
        <v>0.12092661879186531</v>
      </c>
      <c r="G15" s="71">
        <f>H147/((H162+G162)/2)</f>
        <v>7.0685590323091331E-3</v>
      </c>
      <c r="H15" s="69">
        <f>D147/((D150+D155+C150+C155)/2)</f>
        <v>0.11764214199702747</v>
      </c>
      <c r="I15" s="70">
        <f>E147/((E150+E155+D150+D155)/2)</f>
        <v>9.5317185245064093E-2</v>
      </c>
      <c r="J15" s="70">
        <f>F147/((F150+F155+E150+E155)/2)</f>
        <v>0.10965339615487817</v>
      </c>
      <c r="K15" s="70">
        <f>G147/((G150+G155+F150+F155)/2)</f>
        <v>4.1486565259950946E-2</v>
      </c>
      <c r="L15" s="71">
        <f>H147/((H150+H155+G150+G155)/2)</f>
        <v>2.2284453221533365E-3</v>
      </c>
      <c r="M15" s="69">
        <f>(D169+D141)/D140</f>
        <v>0.42109730348855973</v>
      </c>
      <c r="N15" s="70">
        <f>(E169+E141)/E140</f>
        <v>0.42460252887855904</v>
      </c>
      <c r="O15" s="70">
        <f>(F169+F141)/F140</f>
        <v>0.39181106087152667</v>
      </c>
      <c r="P15" s="70">
        <f>(G169+G141)/G140</f>
        <v>0.38754270865688378</v>
      </c>
      <c r="Q15" s="71">
        <f>(H169+H141)/H140</f>
        <v>0.36276584136167006</v>
      </c>
    </row>
    <row r="16" spans="1:17">
      <c r="B16" s="82" t="s">
        <v>62</v>
      </c>
      <c r="C16" s="72">
        <f>D181/((D197+C197)/2)</f>
        <v>8.7554345580504914E-2</v>
      </c>
      <c r="D16" s="73">
        <f>E181/((E197+D197)/2)</f>
        <v>4.2016364083295288E-2</v>
      </c>
      <c r="E16" s="73">
        <f>F181/((F197+E197)/2)</f>
        <v>9.6766643398679589E-2</v>
      </c>
      <c r="F16" s="73">
        <f>G181/((G197+F197)/2)</f>
        <v>6.5297309458376362E-2</v>
      </c>
      <c r="G16" s="74">
        <f>H181/((H197+G197)/2)</f>
        <v>0.11792896400199855</v>
      </c>
      <c r="H16" s="72">
        <f>D181/((D185+D189+C185+C189)/2)</f>
        <v>3.203372048374261E-2</v>
      </c>
      <c r="I16" s="73">
        <f>E181/((E185+E189+D185+D189)/2)</f>
        <v>1.6404630802499275E-2</v>
      </c>
      <c r="J16" s="73">
        <f>F181/((F185+F189+E185+E189)/2)</f>
        <v>3.6845238807988803E-2</v>
      </c>
      <c r="K16" s="73">
        <f>G181/((G185+G189+F185+F189)/2)</f>
        <v>2.4814512596954264E-2</v>
      </c>
      <c r="L16" s="74">
        <f>H181/((H185+H189+G185+G189)/2)</f>
        <v>4.4088036591508339E-2</v>
      </c>
      <c r="M16" s="72">
        <f>(D202+D176)/D173</f>
        <v>0.23250259137410428</v>
      </c>
      <c r="N16" s="73">
        <f>(E202+E176)/E173</f>
        <v>0.22571459116929568</v>
      </c>
      <c r="O16" s="73">
        <f>(F202+F176)/F173</f>
        <v>0.21146745961152469</v>
      </c>
      <c r="P16" s="73">
        <f>(G202+G176)/G173</f>
        <v>0.20303837781451381</v>
      </c>
      <c r="Q16" s="74">
        <f>(H202+H176)/H173</f>
        <v>0.19942828801510246</v>
      </c>
    </row>
    <row r="17" spans="1:37">
      <c r="C17" s="62"/>
      <c r="D17" s="62"/>
      <c r="E17" s="62"/>
      <c r="F17" s="62"/>
      <c r="G17" s="62"/>
      <c r="H17" s="62"/>
      <c r="I17" s="62"/>
      <c r="J17" s="62"/>
      <c r="K17" s="62"/>
      <c r="L17" s="62"/>
    </row>
    <row r="18" spans="1:37">
      <c r="A18" s="4" t="s">
        <v>198</v>
      </c>
      <c r="C18" s="91" t="s">
        <v>28</v>
      </c>
      <c r="D18" s="92"/>
      <c r="E18" s="92"/>
      <c r="F18" s="92"/>
      <c r="G18" s="93"/>
      <c r="H18" s="91" t="s">
        <v>30</v>
      </c>
      <c r="I18" s="92"/>
      <c r="J18" s="92"/>
      <c r="K18" s="92"/>
      <c r="L18" s="93"/>
      <c r="M18" s="91" t="s">
        <v>32</v>
      </c>
      <c r="N18" s="92"/>
      <c r="O18" s="92"/>
      <c r="P18" s="92"/>
      <c r="Q18" s="93"/>
      <c r="R18" s="91" t="s">
        <v>34</v>
      </c>
      <c r="S18" s="92"/>
      <c r="T18" s="92"/>
      <c r="U18" s="92"/>
      <c r="V18" s="93"/>
      <c r="W18" s="91" t="s">
        <v>35</v>
      </c>
      <c r="X18" s="92"/>
      <c r="Y18" s="92"/>
      <c r="Z18" s="92"/>
      <c r="AA18" s="93"/>
      <c r="AB18" s="91" t="s">
        <v>37</v>
      </c>
      <c r="AC18" s="92"/>
      <c r="AD18" s="92"/>
      <c r="AE18" s="92"/>
      <c r="AF18" s="93"/>
      <c r="AG18" s="91" t="s">
        <v>39</v>
      </c>
      <c r="AH18" s="92"/>
      <c r="AI18" s="92"/>
      <c r="AJ18" s="92"/>
      <c r="AK18" s="93"/>
    </row>
    <row r="19" spans="1:37">
      <c r="B19" s="61" t="s">
        <v>63</v>
      </c>
      <c r="C19" s="61">
        <v>2022</v>
      </c>
      <c r="D19" s="61">
        <v>2023</v>
      </c>
      <c r="E19" s="61">
        <v>2024</v>
      </c>
      <c r="F19" s="61">
        <v>2025</v>
      </c>
      <c r="G19" s="61">
        <v>2026</v>
      </c>
      <c r="H19" s="61">
        <v>2022</v>
      </c>
      <c r="I19" s="61">
        <v>2023</v>
      </c>
      <c r="J19" s="61">
        <v>2024</v>
      </c>
      <c r="K19" s="61">
        <v>2025</v>
      </c>
      <c r="L19" s="61">
        <v>2026</v>
      </c>
      <c r="M19" s="61">
        <v>2022</v>
      </c>
      <c r="N19" s="61">
        <v>2023</v>
      </c>
      <c r="O19" s="61">
        <v>2024</v>
      </c>
      <c r="P19" s="61">
        <v>2025</v>
      </c>
      <c r="Q19" s="61">
        <v>2026</v>
      </c>
      <c r="R19" s="61">
        <v>2022</v>
      </c>
      <c r="S19" s="61">
        <v>2023</v>
      </c>
      <c r="T19" s="61">
        <v>2024</v>
      </c>
      <c r="U19" s="61">
        <v>2025</v>
      </c>
      <c r="V19" s="61">
        <v>2026</v>
      </c>
      <c r="W19" s="61">
        <v>2022</v>
      </c>
      <c r="X19" s="61">
        <v>2023</v>
      </c>
      <c r="Y19" s="61">
        <v>2024</v>
      </c>
      <c r="Z19" s="61">
        <v>2025</v>
      </c>
      <c r="AA19" s="61">
        <v>2026</v>
      </c>
      <c r="AB19" s="61">
        <v>2022</v>
      </c>
      <c r="AC19" s="61">
        <v>2023</v>
      </c>
      <c r="AD19" s="61">
        <v>2024</v>
      </c>
      <c r="AE19" s="61">
        <v>2025</v>
      </c>
      <c r="AF19" s="61">
        <v>2026</v>
      </c>
      <c r="AG19" s="61">
        <v>2022</v>
      </c>
      <c r="AH19" s="61">
        <v>2023</v>
      </c>
      <c r="AI19" s="61">
        <v>2024</v>
      </c>
      <c r="AJ19" s="61">
        <v>2025</v>
      </c>
      <c r="AK19" s="61">
        <v>2026</v>
      </c>
    </row>
    <row r="20" spans="1:37">
      <c r="B20" s="81" t="s">
        <v>59</v>
      </c>
      <c r="C20" s="75">
        <f>D46/(((D70+D71)+(C70+C71))/2)</f>
        <v>59.56640899508082</v>
      </c>
      <c r="D20" s="76">
        <f>E46/(((E70+E71)+(D70+D71))/2)</f>
        <v>62.899644335364712</v>
      </c>
      <c r="E20" s="76">
        <f>F46/(((F70+F71)+(E70+E71))/2)</f>
        <v>99.910725376224221</v>
      </c>
      <c r="F20" s="76">
        <f>G46/(((G70+G71)+(F70+F71))/2)</f>
        <v>102.69723220644991</v>
      </c>
      <c r="G20" s="77">
        <f>H46/(((H70+H71)+(G70+G71))/2)</f>
        <v>121.98921366007285</v>
      </c>
      <c r="H20" s="75">
        <f t="shared" ref="H20:L24" si="0">360/C20</f>
        <v>6.0436747165626503</v>
      </c>
      <c r="I20" s="76">
        <f t="shared" si="0"/>
        <v>5.7234027919231574</v>
      </c>
      <c r="J20" s="76">
        <f t="shared" si="0"/>
        <v>3.603216758204713</v>
      </c>
      <c r="K20" s="76">
        <f t="shared" si="0"/>
        <v>3.5054498769382625</v>
      </c>
      <c r="L20" s="77">
        <f t="shared" si="0"/>
        <v>2.9510805849044361</v>
      </c>
      <c r="M20" s="75">
        <f>D47/((D57+C57)/2)</f>
        <v>51.495478574056499</v>
      </c>
      <c r="N20" s="76">
        <f>E47/((E57+D57)/2)</f>
        <v>49.022940249065556</v>
      </c>
      <c r="O20" s="76">
        <f>F47/((F57+E57)/2)</f>
        <v>52.945795428307548</v>
      </c>
      <c r="P20" s="76">
        <f>G47/((G57+F57)/2)</f>
        <v>53.545004816099805</v>
      </c>
      <c r="Q20" s="77">
        <f>H47/((H57+G57)/2)</f>
        <v>50.893937623059145</v>
      </c>
      <c r="R20" s="75">
        <f>360/M20</f>
        <v>6.9909050263952404</v>
      </c>
      <c r="S20" s="76">
        <f t="shared" ref="S20:V20" si="1">360/N20</f>
        <v>7.3435007808790518</v>
      </c>
      <c r="T20" s="76">
        <f t="shared" si="1"/>
        <v>6.7994067722991556</v>
      </c>
      <c r="U20" s="76">
        <f t="shared" si="1"/>
        <v>6.723316231577888</v>
      </c>
      <c r="V20" s="77">
        <f t="shared" si="1"/>
        <v>7.0735340359455767</v>
      </c>
      <c r="W20" s="75">
        <f>D47/(((D74+D75)+(C74+C75))/2)</f>
        <v>7.7454954266183762</v>
      </c>
      <c r="X20" s="76">
        <f>E47/(((E74+E75)+(D74+D75))/2)</f>
        <v>7.5756022047420837</v>
      </c>
      <c r="Y20" s="76">
        <f>F47/(((F74+F75)+(E74+E75))/2)</f>
        <v>6.9724323640591788</v>
      </c>
      <c r="Z20" s="76">
        <f>G47/(((G74+G75)+(F74+F75))/2)</f>
        <v>6.9435924550633876</v>
      </c>
      <c r="AA20" s="77">
        <f>H47/(((H74+H75)+(G74+G75))/2)</f>
        <v>6.8798477405366505</v>
      </c>
      <c r="AB20" s="75">
        <f t="shared" ref="AB20:AF22" si="2">360/W20</f>
        <v>46.47862792130951</v>
      </c>
      <c r="AC20" s="76">
        <f t="shared" si="2"/>
        <v>47.520974606434791</v>
      </c>
      <c r="AD20" s="76">
        <f t="shared" si="2"/>
        <v>51.631909956659207</v>
      </c>
      <c r="AE20" s="76">
        <f t="shared" si="2"/>
        <v>51.84636084703989</v>
      </c>
      <c r="AF20" s="77">
        <f t="shared" si="2"/>
        <v>52.326739424602273</v>
      </c>
      <c r="AG20" s="75">
        <f t="shared" ref="AG20:AK24" si="3">H20+R20-AB20</f>
        <v>-33.444048178351622</v>
      </c>
      <c r="AH20" s="76">
        <f t="shared" si="3"/>
        <v>-34.45407103363258</v>
      </c>
      <c r="AI20" s="76">
        <f t="shared" si="3"/>
        <v>-41.22928642615534</v>
      </c>
      <c r="AJ20" s="76">
        <f t="shared" si="3"/>
        <v>-41.617594738523735</v>
      </c>
      <c r="AK20" s="77">
        <f t="shared" si="3"/>
        <v>-42.302124803752264</v>
      </c>
    </row>
    <row r="21" spans="1:37">
      <c r="B21" s="81" t="s">
        <v>64</v>
      </c>
      <c r="C21" s="75">
        <f>D76/(((D102+D103)+(C102+C103))/2)</f>
        <v>49.712190778214364</v>
      </c>
      <c r="D21" s="76">
        <f>E76/(((E102+E103)+(D102+D103))/2)</f>
        <v>47.537777040517078</v>
      </c>
      <c r="E21" s="76">
        <f>F76/(((F102+F103)+(E102+E103))/2)</f>
        <v>59.828385178250606</v>
      </c>
      <c r="F21" s="76">
        <f>G76/(((G102+G103)+(F102+F103))/2)</f>
        <v>61.859521703817343</v>
      </c>
      <c r="G21" s="77">
        <f>H76/(((H102+H103)+(G102+G103))/2)</f>
        <v>70.212039571339105</v>
      </c>
      <c r="H21" s="75">
        <f t="shared" si="0"/>
        <v>7.2416844714428619</v>
      </c>
      <c r="I21" s="76">
        <f t="shared" si="0"/>
        <v>7.5729245751892691</v>
      </c>
      <c r="J21" s="76">
        <f t="shared" si="0"/>
        <v>6.0172107090543818</v>
      </c>
      <c r="K21" s="76">
        <f t="shared" si="0"/>
        <v>5.8196376254519997</v>
      </c>
      <c r="L21" s="77">
        <f t="shared" si="0"/>
        <v>5.1273257720169365</v>
      </c>
      <c r="M21" s="75">
        <f>D77/((D89+C89)/2)</f>
        <v>25.855047486749395</v>
      </c>
      <c r="N21" s="76">
        <f>E77/((E89+D89)/2)</f>
        <v>25.608908943046778</v>
      </c>
      <c r="O21" s="76">
        <f>F77/((F89+E89)/2)</f>
        <v>30.899434538674623</v>
      </c>
      <c r="P21" s="76">
        <f>G77/((G89+F89)/2)</f>
        <v>34.044073848200924</v>
      </c>
      <c r="Q21" s="77">
        <f>H77/((H89+G89)/2)</f>
        <v>33.892488860015916</v>
      </c>
      <c r="R21" s="75">
        <f t="shared" ref="R21:R24" si="4">360/M21</f>
        <v>13.923780267063849</v>
      </c>
      <c r="S21" s="76">
        <f t="shared" ref="S21:S24" si="5">360/N21</f>
        <v>14.057607873909273</v>
      </c>
      <c r="T21" s="76">
        <f t="shared" ref="T21:T24" si="6">360/O21</f>
        <v>11.650698641407617</v>
      </c>
      <c r="U21" s="76">
        <f t="shared" ref="U21:U24" si="7">360/P21</f>
        <v>10.574527643348546</v>
      </c>
      <c r="V21" s="77">
        <f t="shared" ref="V21:V24" si="8">360/Q21</f>
        <v>10.621822477743848</v>
      </c>
      <c r="W21" s="75">
        <f>D77/(((D99+D106)+(C99+C106))/2)</f>
        <v>8.3425999165863693</v>
      </c>
      <c r="X21" s="76">
        <f>E77/(((E99+E106)+(D99+D106))/2)</f>
        <v>7.8094588446869802</v>
      </c>
      <c r="Y21" s="76">
        <f>F77/(((F99+F106)+(E99+E106))/2)</f>
        <v>7.5514622437329431</v>
      </c>
      <c r="Z21" s="76">
        <f>G77/(((G99+G106)+(F99+F106))/2)</f>
        <v>7.7351452671040306</v>
      </c>
      <c r="AA21" s="77">
        <f>H77/(((H99+H106)+(G99+G106))/2)</f>
        <v>7.5706326464709219</v>
      </c>
      <c r="AB21" s="75">
        <f t="shared" si="2"/>
        <v>43.152015390821362</v>
      </c>
      <c r="AC21" s="76">
        <f t="shared" si="2"/>
        <v>46.097944449111132</v>
      </c>
      <c r="AD21" s="76">
        <f t="shared" si="2"/>
        <v>47.672886174961505</v>
      </c>
      <c r="AE21" s="76">
        <f t="shared" si="2"/>
        <v>46.540819541037628</v>
      </c>
      <c r="AF21" s="77">
        <f t="shared" si="2"/>
        <v>47.552168598197049</v>
      </c>
      <c r="AG21" s="75">
        <f t="shared" si="3"/>
        <v>-21.986550652314651</v>
      </c>
      <c r="AH21" s="76">
        <f t="shared" si="3"/>
        <v>-24.46741200001259</v>
      </c>
      <c r="AI21" s="76">
        <f t="shared" si="3"/>
        <v>-30.004976824499508</v>
      </c>
      <c r="AJ21" s="76">
        <f t="shared" si="3"/>
        <v>-30.146654272237082</v>
      </c>
      <c r="AK21" s="77">
        <f t="shared" si="3"/>
        <v>-31.803020348436263</v>
      </c>
    </row>
    <row r="22" spans="1:37">
      <c r="B22" s="81" t="s">
        <v>60</v>
      </c>
      <c r="C22" s="75">
        <f>D108/(((D121+D134)+(C121+C134))/2)</f>
        <v>18.265340271776108</v>
      </c>
      <c r="D22" s="76">
        <f>E108/(((E121+E134)+(D121+D134))/2)</f>
        <v>17.668992458584889</v>
      </c>
      <c r="E22" s="76">
        <f>F108/(((F121+F134)+(E121+E134))/2)</f>
        <v>26.156258566807395</v>
      </c>
      <c r="F22" s="76">
        <f>G108/(((G121+G134)+(F121+F134))/2)</f>
        <v>37.751666666666665</v>
      </c>
      <c r="G22" s="77">
        <f>H108/(((H121+H134)+(G121+G134))/2)</f>
        <v>46.973050626513078</v>
      </c>
      <c r="H22" s="75">
        <f t="shared" si="0"/>
        <v>19.709460357345638</v>
      </c>
      <c r="I22" s="76">
        <f t="shared" si="0"/>
        <v>20.374676192987206</v>
      </c>
      <c r="J22" s="76">
        <f t="shared" si="0"/>
        <v>13.763436352355237</v>
      </c>
      <c r="K22" s="76">
        <f t="shared" si="0"/>
        <v>9.5360028254823188</v>
      </c>
      <c r="L22" s="77">
        <f t="shared" si="0"/>
        <v>7.6639689183142936</v>
      </c>
      <c r="M22" s="75">
        <f>D109/((D120+C120)/2)</f>
        <v>17.597604715715931</v>
      </c>
      <c r="N22" s="76">
        <f>E109/((E120+D120)/2)</f>
        <v>20.332525875357852</v>
      </c>
      <c r="O22" s="76">
        <f>F109/((F120+E120)/2)</f>
        <v>27.486403484281649</v>
      </c>
      <c r="P22" s="76">
        <f>G109/((G120+F120)/2)</f>
        <v>24.685009487666033</v>
      </c>
      <c r="Q22" s="77">
        <f>H109/((H120+G120)/2)</f>
        <v>24.198818474758326</v>
      </c>
      <c r="R22" s="75">
        <f t="shared" si="4"/>
        <v>20.45732960909697</v>
      </c>
      <c r="S22" s="76">
        <f t="shared" si="5"/>
        <v>17.705621141557454</v>
      </c>
      <c r="T22" s="76">
        <f t="shared" si="6"/>
        <v>13.097384683517046</v>
      </c>
      <c r="U22" s="76">
        <f t="shared" si="7"/>
        <v>14.583749711738028</v>
      </c>
      <c r="V22" s="77">
        <f t="shared" si="8"/>
        <v>14.876759391187397</v>
      </c>
      <c r="W22" s="75">
        <f>D109/(((D125+D136)+(C125+C136))/2)</f>
        <v>3.8312238578955946</v>
      </c>
      <c r="X22" s="76">
        <f>E109/(((E125+E136)+(D125+D136))/2)</f>
        <v>3.4863874938639876</v>
      </c>
      <c r="Y22" s="76">
        <f>F109/(((F125+F136)+(E125+E136))/2)</f>
        <v>3.3872863394896919</v>
      </c>
      <c r="Z22" s="76">
        <f>G109/(((G125+G136)+(F125+F136))/2)</f>
        <v>3.7516943042537849</v>
      </c>
      <c r="AA22" s="77">
        <f>H109/(((H125+H136)+(G125+G136))/2)</f>
        <v>4.1104370592689223</v>
      </c>
      <c r="AB22" s="75">
        <f t="shared" si="2"/>
        <v>93.96475208779367</v>
      </c>
      <c r="AC22" s="76">
        <f t="shared" si="2"/>
        <v>103.2587458030976</v>
      </c>
      <c r="AD22" s="76">
        <f t="shared" si="2"/>
        <v>106.27976613699431</v>
      </c>
      <c r="AE22" s="76">
        <f t="shared" si="2"/>
        <v>95.956645399338925</v>
      </c>
      <c r="AF22" s="77">
        <f t="shared" si="2"/>
        <v>87.581927373929716</v>
      </c>
      <c r="AG22" s="75">
        <f t="shared" si="3"/>
        <v>-53.797962121351063</v>
      </c>
      <c r="AH22" s="76">
        <f t="shared" si="3"/>
        <v>-65.178448468552943</v>
      </c>
      <c r="AI22" s="76">
        <f t="shared" si="3"/>
        <v>-79.418945101122034</v>
      </c>
      <c r="AJ22" s="76">
        <f t="shared" si="3"/>
        <v>-71.836892862118574</v>
      </c>
      <c r="AK22" s="77">
        <f t="shared" si="3"/>
        <v>-65.041199064428028</v>
      </c>
    </row>
    <row r="23" spans="1:37">
      <c r="B23" s="81" t="s">
        <v>61</v>
      </c>
      <c r="C23" s="75">
        <f>D140/(((D170+D164)+(C170+C164))/2)</f>
        <v>393.1910953506698</v>
      </c>
      <c r="D23" s="76">
        <f>E140/(((E170+E164)+(D170+D164))/2)</f>
        <v>430.34163124873515</v>
      </c>
      <c r="E23" s="76">
        <f>F140/(((F170+F164)+(E170+E164))/2)</f>
        <v>432.21767095463781</v>
      </c>
      <c r="F23" s="76">
        <f>G140/(((G170+G164)+(F170+F164))/2)</f>
        <v>341.24802068185488</v>
      </c>
      <c r="G23" s="77">
        <f>H140/(((H170+H164)+(G170+G164))/2)</f>
        <v>338.4065091534971</v>
      </c>
      <c r="H23" s="75">
        <f t="shared" si="0"/>
        <v>0.91558533307813561</v>
      </c>
      <c r="I23" s="76">
        <f t="shared" si="0"/>
        <v>0.83654467487929829</v>
      </c>
      <c r="J23" s="76">
        <f t="shared" si="0"/>
        <v>0.83291365483708502</v>
      </c>
      <c r="K23" s="76">
        <f t="shared" si="0"/>
        <v>1.0549511738725295</v>
      </c>
      <c r="L23" s="77">
        <f t="shared" si="0"/>
        <v>1.0638093247689522</v>
      </c>
      <c r="M23" s="75">
        <f>D167/((D153+C153)/2)</f>
        <v>0</v>
      </c>
      <c r="N23" s="76">
        <f>E167/((E153+D153)/2)</f>
        <v>0</v>
      </c>
      <c r="O23" s="76">
        <f>F167/((F153+E153)/2)</f>
        <v>0</v>
      </c>
      <c r="P23" s="76">
        <f>G167/((G153+F153)/2)</f>
        <v>0</v>
      </c>
      <c r="Q23" s="77">
        <f>H167/((H153+G153)/2)</f>
        <v>0</v>
      </c>
      <c r="R23" s="75">
        <v>0</v>
      </c>
      <c r="S23" s="76">
        <v>0</v>
      </c>
      <c r="T23" s="76">
        <v>0</v>
      </c>
      <c r="U23" s="76">
        <v>0</v>
      </c>
      <c r="V23" s="77">
        <v>0</v>
      </c>
      <c r="W23" s="75">
        <f>D167/(((D156+D166)+(C156+C166))/2)</f>
        <v>0</v>
      </c>
      <c r="X23" s="76">
        <f>E167/(((E156+E166)+(D156+D166))/2)</f>
        <v>0</v>
      </c>
      <c r="Y23" s="76">
        <f>F167/(((F156+F166)+(E156+E166))/2)</f>
        <v>0</v>
      </c>
      <c r="Z23" s="76">
        <f>G167/(((G156+G166)+(F156+F166))/2)</f>
        <v>0</v>
      </c>
      <c r="AA23" s="77">
        <f>H167/(((H156+H166)+(G156+G166))/2)</f>
        <v>0</v>
      </c>
      <c r="AB23" s="75">
        <f>(((D156+D166)+(C156+C166))/2)/(D140-D169)*360</f>
        <v>23.415706199200468</v>
      </c>
      <c r="AC23" s="76">
        <f>(((E156+E166)+(D156+D166))/2)/(E140-E169)*360</f>
        <v>25.30590668385469</v>
      </c>
      <c r="AD23" s="76">
        <f>(((F156+F166)+(E156+E166))/2)/(F140-F169)*360</f>
        <v>16.279112211525138</v>
      </c>
      <c r="AE23" s="76">
        <f>(((G156+G166)+(F156+F166))/2)/(G140-G169)*360</f>
        <v>18.20408781015291</v>
      </c>
      <c r="AF23" s="77">
        <f>(((H156+H166)+(G156+G166))/2)/(H140-H169)*360</f>
        <v>18.120482743445219</v>
      </c>
      <c r="AG23" s="75">
        <f t="shared" si="3"/>
        <v>-22.500120866122334</v>
      </c>
      <c r="AH23" s="76">
        <f t="shared" si="3"/>
        <v>-24.469362008975391</v>
      </c>
      <c r="AI23" s="76">
        <f t="shared" si="3"/>
        <v>-15.446198556688053</v>
      </c>
      <c r="AJ23" s="76">
        <f t="shared" si="3"/>
        <v>-17.149136636280382</v>
      </c>
      <c r="AK23" s="77">
        <f t="shared" si="3"/>
        <v>-17.056673418676269</v>
      </c>
    </row>
    <row r="24" spans="1:37">
      <c r="B24" s="82" t="s">
        <v>62</v>
      </c>
      <c r="C24" s="78">
        <f>D173/(((D187+D199)+(C187+C199))/2)</f>
        <v>13.938212032093197</v>
      </c>
      <c r="D24" s="79">
        <f>E173/(((E187+E199)+(D187+D199))/2)</f>
        <v>11.314713501739398</v>
      </c>
      <c r="E24" s="79">
        <f>F173/(((F187+F199)+(E187+E199))/2)</f>
        <v>13.012502076252131</v>
      </c>
      <c r="F24" s="79">
        <f>G173/(((G187+G199)+(F187+F199))/2)</f>
        <v>13.343983267092151</v>
      </c>
      <c r="G24" s="80">
        <f>H173/(((H187+H199)+(G187+G199))/2)</f>
        <v>15.170656731519513</v>
      </c>
      <c r="H24" s="78">
        <f t="shared" si="0"/>
        <v>25.828276910344599</v>
      </c>
      <c r="I24" s="79">
        <f t="shared" si="0"/>
        <v>31.816978834210659</v>
      </c>
      <c r="J24" s="79">
        <f t="shared" si="0"/>
        <v>27.665701637581403</v>
      </c>
      <c r="K24" s="79">
        <f t="shared" si="0"/>
        <v>26.978451096218233</v>
      </c>
      <c r="L24" s="80">
        <f t="shared" si="0"/>
        <v>23.730020813933606</v>
      </c>
      <c r="M24" s="78">
        <f>D174/((D188+C188)/2)</f>
        <v>10.000102474182199</v>
      </c>
      <c r="N24" s="79">
        <f>E174/((E188+D188)/2)</f>
        <v>7.8758994255498651</v>
      </c>
      <c r="O24" s="79">
        <f>F174/((F188+E188)/2)</f>
        <v>9.5603737299817908</v>
      </c>
      <c r="P24" s="79">
        <f>G174/((G188+F188)/2)</f>
        <v>10.28673628961228</v>
      </c>
      <c r="Q24" s="80">
        <f>H174/((H188+G188)/2)</f>
        <v>11.004444392188217</v>
      </c>
      <c r="R24" s="78">
        <f t="shared" si="4"/>
        <v>35.999631096724386</v>
      </c>
      <c r="S24" s="79">
        <f t="shared" si="5"/>
        <v>45.709065155420795</v>
      </c>
      <c r="T24" s="79">
        <f t="shared" si="6"/>
        <v>37.655431698346973</v>
      </c>
      <c r="U24" s="79">
        <f t="shared" si="7"/>
        <v>34.99652269335747</v>
      </c>
      <c r="V24" s="80">
        <f t="shared" si="8"/>
        <v>32.714055082649615</v>
      </c>
      <c r="W24" s="78">
        <f>D174/(((D190+D201)+(C190+C201))/2)</f>
        <v>2.7171993892884161</v>
      </c>
      <c r="X24" s="79">
        <f>E174/(((E190+E201)+(D190+D201))/2)</f>
        <v>2.2634574993822585</v>
      </c>
      <c r="Y24" s="79">
        <f>F174/(((F190+F201)+(E190+E201))/2)</f>
        <v>2.5944415622002825</v>
      </c>
      <c r="Z24" s="79">
        <f>G174/(((G190+G201)+(F190+F201))/2)</f>
        <v>2.7189548901234644</v>
      </c>
      <c r="AA24" s="80">
        <f>H174/(((H190+H201)+(G190+G201))/2)</f>
        <v>3.0027591251648258</v>
      </c>
      <c r="AB24" s="78">
        <f>360/W24</f>
        <v>132.4893570266396</v>
      </c>
      <c r="AC24" s="79">
        <f>360/X24</f>
        <v>159.04871202496668</v>
      </c>
      <c r="AD24" s="79">
        <f>360/Y24</f>
        <v>138.758184129109</v>
      </c>
      <c r="AE24" s="79">
        <f>360/Z24</f>
        <v>132.4038149024432</v>
      </c>
      <c r="AF24" s="80">
        <f>360/AA24</f>
        <v>119.88973640376135</v>
      </c>
      <c r="AG24" s="78">
        <f t="shared" si="3"/>
        <v>-70.661449019570611</v>
      </c>
      <c r="AH24" s="79">
        <f t="shared" si="3"/>
        <v>-81.522668035335215</v>
      </c>
      <c r="AI24" s="79">
        <f t="shared" si="3"/>
        <v>-73.437050793180617</v>
      </c>
      <c r="AJ24" s="79">
        <f t="shared" si="3"/>
        <v>-70.428841112867502</v>
      </c>
      <c r="AK24" s="80">
        <f t="shared" si="3"/>
        <v>-63.445660507178125</v>
      </c>
    </row>
    <row r="26" spans="1:37">
      <c r="A26" s="4" t="s">
        <v>43</v>
      </c>
      <c r="C26" s="91" t="s">
        <v>45</v>
      </c>
      <c r="D26" s="92"/>
      <c r="E26" s="92"/>
      <c r="F26" s="92"/>
      <c r="G26" s="93"/>
      <c r="H26" s="91" t="s">
        <v>47</v>
      </c>
      <c r="I26" s="92"/>
      <c r="J26" s="92"/>
      <c r="K26" s="92"/>
      <c r="L26" s="93"/>
      <c r="M26" s="91" t="s">
        <v>49</v>
      </c>
      <c r="N26" s="92"/>
      <c r="O26" s="92"/>
      <c r="P26" s="92"/>
      <c r="Q26" s="93"/>
    </row>
    <row r="27" spans="1:37">
      <c r="B27" s="68" t="s">
        <v>63</v>
      </c>
      <c r="C27" s="61">
        <v>2022</v>
      </c>
      <c r="D27" s="61">
        <v>2023</v>
      </c>
      <c r="E27" s="61">
        <v>2024</v>
      </c>
      <c r="F27" s="61">
        <v>2025</v>
      </c>
      <c r="G27" s="61">
        <v>2026</v>
      </c>
      <c r="H27" s="61">
        <v>2022</v>
      </c>
      <c r="I27" s="61">
        <v>2023</v>
      </c>
      <c r="J27" s="61">
        <v>2024</v>
      </c>
      <c r="K27" s="61">
        <v>2025</v>
      </c>
      <c r="L27" s="61">
        <v>2026</v>
      </c>
      <c r="M27" s="61">
        <v>2022</v>
      </c>
      <c r="N27" s="61">
        <v>2023</v>
      </c>
      <c r="O27" s="61">
        <v>2024</v>
      </c>
      <c r="P27" s="61">
        <v>2025</v>
      </c>
      <c r="Q27" s="61">
        <v>2026</v>
      </c>
    </row>
    <row r="28" spans="1:37">
      <c r="B28" s="83" t="s">
        <v>59</v>
      </c>
      <c r="C28" s="75">
        <f>D60/D64</f>
        <v>0.98358987731394498</v>
      </c>
      <c r="D28" s="76">
        <f>E60/E64</f>
        <v>0.96968150715103807</v>
      </c>
      <c r="E28" s="76">
        <f>F60/F64</f>
        <v>0.92783188072833367</v>
      </c>
      <c r="F28" s="76">
        <f>G60/G64</f>
        <v>0.86528420899787006</v>
      </c>
      <c r="G28" s="77">
        <f>H60/H64</f>
        <v>0.89272218582115315</v>
      </c>
      <c r="H28" s="75">
        <f>(D73+D72+D70)/D64</f>
        <v>0.71019477913186646</v>
      </c>
      <c r="I28" s="76">
        <f>(E73+E72+E70)/E64</f>
        <v>0.72583893767192342</v>
      </c>
      <c r="J28" s="76">
        <f>(F73+F72+F70)/F64</f>
        <v>0.65068043893874605</v>
      </c>
      <c r="K28" s="76">
        <f>(G73+G72+G70)/G64</f>
        <v>0.42670788116540881</v>
      </c>
      <c r="L28" s="77">
        <f>(H73+H72+H70)/H64</f>
        <v>0.3865659312837294</v>
      </c>
      <c r="M28" s="75">
        <f>(D73+D72)/D64</f>
        <v>0.68809646155930682</v>
      </c>
      <c r="N28" s="76">
        <f>(E73+E72)/E64</f>
        <v>0.71401476217046977</v>
      </c>
      <c r="O28" s="76">
        <f>(F73+F72)/F64</f>
        <v>0.62684381418617041</v>
      </c>
      <c r="P28" s="76">
        <f>(G73+G72)/G64</f>
        <v>0.41560236212236623</v>
      </c>
      <c r="Q28" s="77">
        <f>(H73+H72)/H64</f>
        <v>0.37636915808597893</v>
      </c>
    </row>
    <row r="29" spans="1:37">
      <c r="B29" s="83" t="s">
        <v>64</v>
      </c>
      <c r="C29" s="75">
        <f>D93/D100</f>
        <v>1.246529572216184</v>
      </c>
      <c r="D29" s="76">
        <f>E93/E100</f>
        <v>0.7653795458371766</v>
      </c>
      <c r="E29" s="76">
        <f>F93/F100</f>
        <v>0.89474988902532526</v>
      </c>
      <c r="F29" s="76">
        <f>G93/G100</f>
        <v>0.83159960343387695</v>
      </c>
      <c r="G29" s="77">
        <f>H93/H100</f>
        <v>0.80733456475831078</v>
      </c>
      <c r="H29" s="75">
        <f>(D104+D92+D102)/D100</f>
        <v>0.94819329181952383</v>
      </c>
      <c r="I29" s="76">
        <f>(E104+E92+E102)/E100</f>
        <v>0.62876772252352331</v>
      </c>
      <c r="J29" s="76">
        <f>(F104+F92+F102)/F100</f>
        <v>0.70771078768173246</v>
      </c>
      <c r="K29" s="76">
        <f>(G104+G92+G102)/G100</f>
        <v>0.61597647203560457</v>
      </c>
      <c r="L29" s="77">
        <f>(H104+H92+H102)/H100</f>
        <v>0.61797756971753093</v>
      </c>
      <c r="M29" s="75">
        <f>(D104+D92)/D100</f>
        <v>0.91864135359429699</v>
      </c>
      <c r="N29" s="76">
        <f>(E104+E92)/E100</f>
        <v>0.60147507227149044</v>
      </c>
      <c r="O29" s="76">
        <f>(F104+F92)/F100</f>
        <v>0.6608420029841312</v>
      </c>
      <c r="P29" s="76">
        <f>(G104+G92)/G100</f>
        <v>0.58389484901836586</v>
      </c>
      <c r="Q29" s="77">
        <f>(H104+H92)/H100</f>
        <v>0.59020805436617774</v>
      </c>
    </row>
    <row r="30" spans="1:37">
      <c r="B30" s="83" t="s">
        <v>60</v>
      </c>
      <c r="C30" s="75">
        <f>D124/D129</f>
        <v>1.0396184849166985</v>
      </c>
      <c r="D30" s="76">
        <f>E124/E129</f>
        <v>1.3330155407482633</v>
      </c>
      <c r="E30" s="76">
        <f>F124/F129</f>
        <v>1.2780359860278865</v>
      </c>
      <c r="F30" s="76">
        <f>G124/G129</f>
        <v>1.0481904879215838</v>
      </c>
      <c r="G30" s="77">
        <f>H124/H129</f>
        <v>1.1576593150836751</v>
      </c>
      <c r="H30" s="75">
        <f>(D135+D123+D121)/D129</f>
        <v>0.31588052740337558</v>
      </c>
      <c r="I30" s="76">
        <f>(E135+E123+E121)/E129</f>
        <v>0.89139783831956809</v>
      </c>
      <c r="J30" s="76">
        <f>(F135+F123+F121)/F129</f>
        <v>0.60233500905218085</v>
      </c>
      <c r="K30" s="76">
        <f>(G135+G123+G121)/G129</f>
        <v>0.54809336788595731</v>
      </c>
      <c r="L30" s="77">
        <f>(H135+H123+H121)/H129</f>
        <v>0.72602460379031364</v>
      </c>
      <c r="M30" s="75">
        <f>(D135+D123)/D129</f>
        <v>0.30144092510578674</v>
      </c>
      <c r="N30" s="76">
        <f>(E135+E123)/E129</f>
        <v>0.87702117811238112</v>
      </c>
      <c r="O30" s="76">
        <f>(F135+F123)/F129</f>
        <v>0.59146414387812751</v>
      </c>
      <c r="P30" s="76">
        <f>(G135+G123)/G129</f>
        <v>0.5309244406122825</v>
      </c>
      <c r="Q30" s="77">
        <f>(H135+H123)/H129</f>
        <v>0.71502604455280949</v>
      </c>
    </row>
    <row r="31" spans="1:37">
      <c r="B31" s="83" t="s">
        <v>61</v>
      </c>
      <c r="C31" s="75">
        <f>D155/D159</f>
        <v>1.4320817113920561</v>
      </c>
      <c r="D31" s="76">
        <f>E155/E159</f>
        <v>1.4864318816933679</v>
      </c>
      <c r="E31" s="76">
        <f>F155/F159</f>
        <v>1.107163770563242</v>
      </c>
      <c r="F31" s="76">
        <f>G155/G159</f>
        <v>0.70830618280243596</v>
      </c>
      <c r="G31" s="77">
        <f>H155/H159</f>
        <v>0.81785377980338236</v>
      </c>
      <c r="H31" s="75">
        <f>(D165+D154+D170)/D159</f>
        <v>1.120813669089531</v>
      </c>
      <c r="I31" s="76">
        <f>(E165+E154+E170)/E159</f>
        <v>1.1869300331522399</v>
      </c>
      <c r="J31" s="76">
        <f>(F165+F154+F170)/F159</f>
        <v>0.86039465083342415</v>
      </c>
      <c r="K31" s="76">
        <f>(G165+G154+G170)/G159</f>
        <v>0.45365404375830176</v>
      </c>
      <c r="L31" s="77">
        <f>(H165+H154+H170)/H159</f>
        <v>0.52741722852084827</v>
      </c>
      <c r="M31" s="75">
        <f>(D165+D154)/D159</f>
        <v>1.120813669089531</v>
      </c>
      <c r="N31" s="76">
        <f>(E165+E154)/E159</f>
        <v>1.1869300331522399</v>
      </c>
      <c r="O31" s="76">
        <f>(F165+F154)/F159</f>
        <v>0.86039465083342415</v>
      </c>
      <c r="P31" s="76">
        <f>(G165+G154)/G159</f>
        <v>0.45365404375830176</v>
      </c>
      <c r="Q31" s="77">
        <f>(H165+H154)/H159</f>
        <v>0.52741722852084827</v>
      </c>
    </row>
    <row r="32" spans="1:37">
      <c r="B32" s="84" t="s">
        <v>62</v>
      </c>
      <c r="C32" s="78">
        <f>D189/D194</f>
        <v>0.86312561803736554</v>
      </c>
      <c r="D32" s="79">
        <f>E189/E194</f>
        <v>0.71213341594382473</v>
      </c>
      <c r="E32" s="79">
        <f>F189/F194</f>
        <v>0.70740831442479724</v>
      </c>
      <c r="F32" s="79">
        <f>G189/G194</f>
        <v>0.70327485751144658</v>
      </c>
      <c r="G32" s="80">
        <f>H189/H194</f>
        <v>0.75116350724443215</v>
      </c>
      <c r="H32" s="78">
        <f>(D200+D203+D187)/D194</f>
        <v>0.3833632259116454</v>
      </c>
      <c r="I32" s="79">
        <f>(E200+E203+E187)/E194</f>
        <v>0.24540995456422965</v>
      </c>
      <c r="J32" s="79">
        <f>(F200+F203+F187)/F194</f>
        <v>0.26787606329278407</v>
      </c>
      <c r="K32" s="79">
        <f>(G200+G203+G187)/G194</f>
        <v>0.2695478962450697</v>
      </c>
      <c r="L32" s="80">
        <f>(H200+H203+H187)/H194</f>
        <v>0.24491672195344977</v>
      </c>
      <c r="M32" s="78">
        <f>(D200+D203)/D194</f>
        <v>0.35041648240404366</v>
      </c>
      <c r="N32" s="79">
        <f>(E200+E203)/E194</f>
        <v>0.20970673275505988</v>
      </c>
      <c r="O32" s="79">
        <f>(F200+F203)/F194</f>
        <v>0.22008911168197673</v>
      </c>
      <c r="P32" s="79">
        <f>(G200+G203)/G194</f>
        <v>0.23226955979232092</v>
      </c>
      <c r="Q32" s="80">
        <f>(H200+H203)/H194</f>
        <v>0.21169122890716047</v>
      </c>
    </row>
    <row r="33" spans="1:17">
      <c r="C33" s="37"/>
      <c r="D33" s="37"/>
      <c r="E33" s="37"/>
      <c r="F33" s="37"/>
      <c r="G33" s="37"/>
      <c r="H33" s="37"/>
      <c r="I33" s="37"/>
      <c r="J33" s="37"/>
      <c r="K33" s="37"/>
      <c r="L33" s="37"/>
      <c r="M33" s="37"/>
      <c r="N33" s="37"/>
      <c r="O33" s="37"/>
      <c r="P33" s="37"/>
      <c r="Q33" s="37"/>
    </row>
    <row r="34" spans="1:17">
      <c r="A34" s="4" t="s">
        <v>199</v>
      </c>
      <c r="C34" s="91" t="s">
        <v>52</v>
      </c>
      <c r="D34" s="92"/>
      <c r="E34" s="92"/>
      <c r="F34" s="92"/>
      <c r="G34" s="93"/>
      <c r="H34" s="91" t="s">
        <v>53</v>
      </c>
      <c r="I34" s="92"/>
      <c r="J34" s="92"/>
      <c r="K34" s="92"/>
      <c r="L34" s="93"/>
      <c r="M34" s="91" t="s">
        <v>54</v>
      </c>
      <c r="N34" s="92"/>
      <c r="O34" s="92"/>
      <c r="P34" s="92"/>
      <c r="Q34" s="93"/>
    </row>
    <row r="35" spans="1:17">
      <c r="B35" s="68" t="s">
        <v>63</v>
      </c>
      <c r="C35" s="61">
        <v>2022</v>
      </c>
      <c r="D35" s="61">
        <v>2023</v>
      </c>
      <c r="E35" s="61">
        <v>2024</v>
      </c>
      <c r="F35" s="61">
        <v>2025</v>
      </c>
      <c r="G35" s="61">
        <v>2026</v>
      </c>
      <c r="H35" s="61">
        <v>2022</v>
      </c>
      <c r="I35" s="61">
        <v>2023</v>
      </c>
      <c r="J35" s="61">
        <v>2024</v>
      </c>
      <c r="K35" s="61">
        <v>2025</v>
      </c>
      <c r="L35" s="61">
        <v>2026</v>
      </c>
      <c r="M35" s="61">
        <v>2022</v>
      </c>
      <c r="N35" s="61">
        <v>2023</v>
      </c>
      <c r="O35" s="61">
        <v>2024</v>
      </c>
      <c r="P35" s="61">
        <v>2025</v>
      </c>
      <c r="Q35" s="61">
        <v>2026</v>
      </c>
    </row>
    <row r="36" spans="1:17">
      <c r="B36" s="83" t="s">
        <v>59</v>
      </c>
      <c r="C36" s="75">
        <f>D63+D62</f>
        <v>1186.23</v>
      </c>
      <c r="D36" s="76">
        <f>E63+E62</f>
        <v>1126.453</v>
      </c>
      <c r="E36" s="76">
        <f>F63+F62</f>
        <v>1042.181</v>
      </c>
      <c r="F36" s="76">
        <f>G63+G62</f>
        <v>943.54900000000009</v>
      </c>
      <c r="G36" s="77">
        <f>H63+H62</f>
        <v>950.97799999999995</v>
      </c>
      <c r="H36" s="75">
        <f>C36/D66</f>
        <v>1.6608375942965632</v>
      </c>
      <c r="I36" s="76">
        <f>D36/E66</f>
        <v>1.6550176380965254</v>
      </c>
      <c r="J36" s="76">
        <f>E36/F66</f>
        <v>1.5780937455046526</v>
      </c>
      <c r="K36" s="76">
        <f>F36/G66</f>
        <v>1.4470833620894585</v>
      </c>
      <c r="L36" s="77">
        <f>G36/H66</f>
        <v>1.4220763393024036</v>
      </c>
      <c r="M36" s="75">
        <f>D49/D50</f>
        <v>2.4752499691396119</v>
      </c>
      <c r="N36" s="76">
        <f>E49/E50</f>
        <v>2.6298820114833741</v>
      </c>
      <c r="O36" s="76">
        <f>F49/F50</f>
        <v>2.9518371995444466</v>
      </c>
      <c r="P36" s="76">
        <f>G49/G50</f>
        <v>2.1476378537280634</v>
      </c>
      <c r="Q36" s="77">
        <f>H49/H50</f>
        <v>2.581653287578896</v>
      </c>
    </row>
    <row r="37" spans="1:17">
      <c r="B37" s="83" t="s">
        <v>64</v>
      </c>
      <c r="C37" s="75">
        <f>D97+D96</f>
        <v>3103.1010000000001</v>
      </c>
      <c r="D37" s="76">
        <f>E97+E96</f>
        <v>3249.0339999999997</v>
      </c>
      <c r="E37" s="76">
        <f>F97+F96</f>
        <v>2448.127</v>
      </c>
      <c r="F37" s="76">
        <f>G97+G96</f>
        <v>2134.31</v>
      </c>
      <c r="G37" s="77">
        <f>H97+H96</f>
        <v>1897.675</v>
      </c>
      <c r="H37" s="75">
        <f>C37/D95</f>
        <v>1.0979080631876297</v>
      </c>
      <c r="I37" s="76">
        <f>D37/E95</f>
        <v>1.1636678685258892</v>
      </c>
      <c r="J37" s="76">
        <f>E37/F95</f>
        <v>0.84113247389721335</v>
      </c>
      <c r="K37" s="76">
        <f>F37/G95</f>
        <v>0.77760119734648436</v>
      </c>
      <c r="L37" s="77">
        <f>G37/H95</f>
        <v>0.69551342666097837</v>
      </c>
      <c r="M37" s="75">
        <f>D79/D81</f>
        <v>1.4898687020126302</v>
      </c>
      <c r="N37" s="76">
        <f>E79/E81</f>
        <v>2.0692431071588095</v>
      </c>
      <c r="O37" s="76">
        <f>F79/F81</f>
        <v>4.1698836010019154</v>
      </c>
      <c r="P37" s="76">
        <f>G79/G81</f>
        <v>3.1204533448590506</v>
      </c>
      <c r="Q37" s="77">
        <f>H79/H81</f>
        <v>2.678292493235916</v>
      </c>
    </row>
    <row r="38" spans="1:17">
      <c r="B38" s="83" t="s">
        <v>60</v>
      </c>
      <c r="C38" s="75">
        <f>D128+D127</f>
        <v>580.51100000000008</v>
      </c>
      <c r="D38" s="76">
        <f>E128+E127</f>
        <v>331.62799999999999</v>
      </c>
      <c r="E38" s="76">
        <f>F128+F127</f>
        <v>244.58199999999999</v>
      </c>
      <c r="F38" s="76">
        <f>G128+G127</f>
        <v>248.249</v>
      </c>
      <c r="G38" s="77">
        <f>H128+H127</f>
        <v>255.387</v>
      </c>
      <c r="H38" s="75">
        <f>C38/D131</f>
        <v>1.1447189132376694</v>
      </c>
      <c r="I38" s="76">
        <f>D38/E131</f>
        <v>0.62084019769357501</v>
      </c>
      <c r="J38" s="76">
        <f>E38/F131</f>
        <v>0.50396650416019317</v>
      </c>
      <c r="K38" s="76">
        <f>F38/G131</f>
        <v>0.56328693146364428</v>
      </c>
      <c r="L38" s="77">
        <f>G38/H131</f>
        <v>0.5573652783476355</v>
      </c>
      <c r="M38" s="75">
        <f>D138/D111</f>
        <v>6.9200242045282634</v>
      </c>
      <c r="N38" s="76">
        <f>E138/E111</f>
        <v>5.2679224453184297</v>
      </c>
      <c r="O38" s="76">
        <f>F138/F111</f>
        <v>4.2954286798179053</v>
      </c>
      <c r="P38" s="76">
        <f>G138/G111</f>
        <v>2.4029223569859615</v>
      </c>
      <c r="Q38" s="77">
        <f>H138/H111</f>
        <v>1.995762711864407</v>
      </c>
    </row>
    <row r="39" spans="1:17">
      <c r="B39" s="83" t="s">
        <v>61</v>
      </c>
      <c r="C39" s="75">
        <f>D171+D158</f>
        <v>179.29400000000001</v>
      </c>
      <c r="D39" s="76">
        <f>E171+E158</f>
        <v>223.65899999999999</v>
      </c>
      <c r="E39" s="76">
        <f>F171+F158</f>
        <v>255.18299999999999</v>
      </c>
      <c r="F39" s="76">
        <f>G171+G158</f>
        <v>324.48399999999998</v>
      </c>
      <c r="G39" s="77">
        <f>H171+H158</f>
        <v>268.392</v>
      </c>
      <c r="H39" s="75">
        <f>C39/D162</f>
        <v>0.47158183783670049</v>
      </c>
      <c r="I39" s="76">
        <f>D39/E162</f>
        <v>0.54617315666345945</v>
      </c>
      <c r="J39" s="76">
        <f>E39/F162</f>
        <v>0.85802620651161543</v>
      </c>
      <c r="K39" s="76">
        <f>F39/G162</f>
        <v>1.3934425525519076</v>
      </c>
      <c r="L39" s="77">
        <f>G39/H162</f>
        <v>1.1442506512276334</v>
      </c>
      <c r="M39" s="75">
        <f>D169/D143</f>
        <v>22.677805800756619</v>
      </c>
      <c r="N39" s="76">
        <f>E169/E143</f>
        <v>11.202996616723054</v>
      </c>
      <c r="O39" s="76">
        <f>F169/F143</f>
        <v>10.719151312116136</v>
      </c>
      <c r="P39" s="76">
        <f>G169/G143</f>
        <v>3.9042979076969564</v>
      </c>
      <c r="Q39" s="77">
        <f>H169/H143</f>
        <v>1.1754385964912279</v>
      </c>
    </row>
    <row r="40" spans="1:17">
      <c r="B40" s="84" t="s">
        <v>62</v>
      </c>
      <c r="C40" s="78">
        <f>D191+D193</f>
        <v>1156.0519999999999</v>
      </c>
      <c r="D40" s="79">
        <f>E191+E193</f>
        <v>1108.422</v>
      </c>
      <c r="E40" s="79">
        <f>F191+F193</f>
        <v>1136.8489999999999</v>
      </c>
      <c r="F40" s="79">
        <f>G191+G193</f>
        <v>1103.808</v>
      </c>
      <c r="G40" s="80">
        <f>H191+H193</f>
        <v>1047.7909999999999</v>
      </c>
      <c r="H40" s="78">
        <f>C40/D197</f>
        <v>1.0555836585468297</v>
      </c>
      <c r="I40" s="79">
        <f>D40/E197</f>
        <v>1.1604495972427828</v>
      </c>
      <c r="J40" s="79">
        <f>E40/F197</f>
        <v>1.1546865985747832</v>
      </c>
      <c r="K40" s="79">
        <f>F40/G197</f>
        <v>1.1797622750286174</v>
      </c>
      <c r="L40" s="80">
        <f>G40/H197</f>
        <v>1.1671885530324548</v>
      </c>
      <c r="M40" s="78">
        <f>D202/D177</f>
        <v>4.6810787548414865</v>
      </c>
      <c r="N40" s="79">
        <f>E202/E177</f>
        <v>2.4760222795815787</v>
      </c>
      <c r="O40" s="79">
        <f>F202/F177</f>
        <v>4.8628202138645529</v>
      </c>
      <c r="P40" s="79">
        <f>G202/G177</f>
        <v>3.088555858310627</v>
      </c>
      <c r="Q40" s="80">
        <f>H202/H177</f>
        <v>4.4662868466683188</v>
      </c>
    </row>
    <row r="41" spans="1:17">
      <c r="C41" s="37"/>
      <c r="D41" s="37"/>
      <c r="E41" s="37"/>
      <c r="F41" s="37"/>
      <c r="G41" s="37"/>
      <c r="H41" s="37"/>
      <c r="I41" s="37"/>
      <c r="J41" s="37"/>
      <c r="K41" s="37"/>
      <c r="L41" s="37"/>
      <c r="M41" s="37"/>
      <c r="N41" s="37"/>
      <c r="O41" s="37"/>
      <c r="P41" s="37"/>
      <c r="Q41" s="37"/>
    </row>
    <row r="45" spans="1:17">
      <c r="A45" s="61" t="s">
        <v>10</v>
      </c>
      <c r="B45" s="61" t="s">
        <v>63</v>
      </c>
      <c r="C45" s="61">
        <v>2021</v>
      </c>
      <c r="D45" s="61">
        <v>2022</v>
      </c>
      <c r="E45" s="61">
        <v>2023</v>
      </c>
      <c r="F45" s="61">
        <v>2024</v>
      </c>
      <c r="G45" s="61">
        <v>2025</v>
      </c>
      <c r="H45" s="61">
        <v>2026</v>
      </c>
    </row>
    <row r="46" spans="1:17">
      <c r="A46" s="4" t="s">
        <v>0</v>
      </c>
      <c r="B46" s="4" t="s">
        <v>59</v>
      </c>
      <c r="C46" s="4">
        <v>2646.4690000000001</v>
      </c>
      <c r="D46" s="4">
        <v>2881.942</v>
      </c>
      <c r="E46" s="4">
        <v>3024.152</v>
      </c>
      <c r="F46" s="4">
        <v>3136.9470000000001</v>
      </c>
      <c r="G46" s="4">
        <v>3100.07</v>
      </c>
      <c r="H46" s="4">
        <v>3098.8310000000001</v>
      </c>
    </row>
    <row r="47" spans="1:17">
      <c r="A47" s="4" t="s">
        <v>1</v>
      </c>
      <c r="B47" s="4" t="s">
        <v>59</v>
      </c>
      <c r="C47" s="4">
        <v>2318.873</v>
      </c>
      <c r="D47" s="4">
        <v>2659.3809999999999</v>
      </c>
      <c r="E47" s="4">
        <v>2767.3939999999998</v>
      </c>
      <c r="F47" s="4">
        <v>2866.3530000000001</v>
      </c>
      <c r="G47" s="4">
        <v>2862.864</v>
      </c>
      <c r="H47" s="4">
        <v>2830.39</v>
      </c>
    </row>
    <row r="48" spans="1:17">
      <c r="A48" s="4" t="s">
        <v>2</v>
      </c>
      <c r="B48" s="4" t="s">
        <v>59</v>
      </c>
      <c r="C48" s="4">
        <v>327.596</v>
      </c>
      <c r="D48" s="4">
        <v>222.56100000000001</v>
      </c>
      <c r="E48" s="4">
        <v>256.75799999999998</v>
      </c>
      <c r="F48" s="4">
        <v>270.59399999999999</v>
      </c>
      <c r="G48" s="4">
        <v>237.20599999999999</v>
      </c>
      <c r="H48" s="4">
        <v>268.44099999999997</v>
      </c>
    </row>
    <row r="49" spans="1:8">
      <c r="A49" s="4" t="s">
        <v>3</v>
      </c>
      <c r="B49" s="4" t="s">
        <v>59</v>
      </c>
      <c r="C49" s="4">
        <v>175.22300000000001</v>
      </c>
      <c r="D49" s="4">
        <v>80.207999999999998</v>
      </c>
      <c r="E49" s="4">
        <v>83.361999999999995</v>
      </c>
      <c r="F49" s="4">
        <v>98.491</v>
      </c>
      <c r="G49" s="4">
        <v>72.325999999999993</v>
      </c>
      <c r="H49" s="4">
        <v>84.26</v>
      </c>
    </row>
    <row r="50" spans="1:8">
      <c r="A50" s="4" t="s">
        <v>16</v>
      </c>
      <c r="B50" s="4" t="s">
        <v>59</v>
      </c>
      <c r="C50" s="4">
        <v>36.823999999999998</v>
      </c>
      <c r="D50" s="4">
        <v>32.404000000000003</v>
      </c>
      <c r="E50" s="4">
        <v>31.698</v>
      </c>
      <c r="F50" s="4">
        <v>33.366</v>
      </c>
      <c r="G50" s="4">
        <v>33.677</v>
      </c>
      <c r="H50" s="4">
        <v>32.637999999999998</v>
      </c>
    </row>
    <row r="51" spans="1:8">
      <c r="A51" s="4" t="s">
        <v>18</v>
      </c>
      <c r="B51" s="4" t="s">
        <v>59</v>
      </c>
      <c r="C51" s="4">
        <v>138.399</v>
      </c>
      <c r="D51" s="4">
        <v>47.804000000000002</v>
      </c>
      <c r="E51" s="4">
        <v>51.664000000000001</v>
      </c>
      <c r="F51" s="4">
        <v>65.125</v>
      </c>
      <c r="G51" s="4">
        <v>38.649000000000001</v>
      </c>
      <c r="H51" s="4">
        <v>51.622</v>
      </c>
    </row>
    <row r="52" spans="1:8">
      <c r="A52" s="4" t="s">
        <v>20</v>
      </c>
      <c r="B52" s="4" t="s">
        <v>59</v>
      </c>
      <c r="C52" s="4">
        <v>-15.217999999999989</v>
      </c>
      <c r="D52" s="4">
        <v>5.1640000000000006</v>
      </c>
      <c r="E52" s="4">
        <v>6.7839999999999989</v>
      </c>
      <c r="F52" s="4">
        <v>14.468</v>
      </c>
      <c r="G52" s="4">
        <v>3.1090000000000022</v>
      </c>
      <c r="H52" s="4">
        <v>10.061999999999999</v>
      </c>
    </row>
    <row r="53" spans="1:8">
      <c r="A53" s="4" t="s">
        <v>21</v>
      </c>
      <c r="B53" s="4" t="s">
        <v>59</v>
      </c>
      <c r="C53" s="4">
        <v>153.61699999999999</v>
      </c>
      <c r="D53" s="4">
        <v>42.64</v>
      </c>
      <c r="E53" s="4">
        <v>44.88</v>
      </c>
      <c r="F53" s="4">
        <v>50.656999999999996</v>
      </c>
      <c r="G53" s="4">
        <v>35.54</v>
      </c>
      <c r="H53" s="4">
        <v>41.56</v>
      </c>
    </row>
    <row r="54" spans="1:8">
      <c r="A54" s="4" t="s">
        <v>23</v>
      </c>
      <c r="B54" s="4" t="s">
        <v>59</v>
      </c>
      <c r="C54" s="4">
        <v>424.86599999999999</v>
      </c>
      <c r="D54" s="4">
        <v>385.197</v>
      </c>
      <c r="E54" s="4">
        <v>379.399</v>
      </c>
      <c r="F54" s="4">
        <v>396.59300000000002</v>
      </c>
      <c r="G54" s="4">
        <v>433.077</v>
      </c>
      <c r="H54" s="4">
        <v>466.65</v>
      </c>
    </row>
    <row r="55" spans="1:8">
      <c r="A55" s="4" t="s">
        <v>24</v>
      </c>
      <c r="B55" s="4" t="s">
        <v>59</v>
      </c>
      <c r="C55" s="4">
        <v>3.9350000000000001</v>
      </c>
      <c r="D55" s="4">
        <v>5.3360000000000003</v>
      </c>
      <c r="E55" s="4">
        <v>4.07</v>
      </c>
      <c r="F55" s="4">
        <v>0.70299999999999996</v>
      </c>
      <c r="G55" s="4">
        <v>4.6020000000000003</v>
      </c>
      <c r="H55" s="4">
        <v>0</v>
      </c>
    </row>
    <row r="56" spans="1:8">
      <c r="A56" s="4" t="s">
        <v>25</v>
      </c>
      <c r="B56" s="4" t="s">
        <v>59</v>
      </c>
      <c r="C56" s="4">
        <v>1645.7460000000001</v>
      </c>
      <c r="D56" s="4">
        <v>1567.7840000000001</v>
      </c>
      <c r="E56" s="4">
        <v>1510.098</v>
      </c>
      <c r="F56" s="4">
        <v>1451.413</v>
      </c>
      <c r="G56" s="4">
        <v>1402.1479999999999</v>
      </c>
      <c r="H56" s="4">
        <v>1439.9359999999999</v>
      </c>
    </row>
    <row r="57" spans="1:8">
      <c r="A57" s="4" t="s">
        <v>4</v>
      </c>
      <c r="B57" s="4" t="s">
        <v>59</v>
      </c>
      <c r="C57" s="4">
        <v>46.008000000000003</v>
      </c>
      <c r="D57" s="4">
        <v>57.277999999999999</v>
      </c>
      <c r="E57" s="4">
        <v>55.624000000000002</v>
      </c>
      <c r="F57" s="4">
        <v>52.651000000000003</v>
      </c>
      <c r="G57" s="4">
        <v>54.281999999999996</v>
      </c>
      <c r="H57" s="4">
        <v>56.945</v>
      </c>
    </row>
    <row r="58" spans="1:8">
      <c r="A58" s="4" t="s">
        <v>26</v>
      </c>
      <c r="B58" s="4" t="s">
        <v>59</v>
      </c>
      <c r="C58" s="4">
        <v>99.763999999999996</v>
      </c>
      <c r="D58" s="4">
        <v>144.66399999999999</v>
      </c>
      <c r="E58" s="4">
        <v>90.033000000000001</v>
      </c>
      <c r="F58" s="4">
        <v>102.72499999999999</v>
      </c>
      <c r="G58" s="4">
        <v>103.194</v>
      </c>
      <c r="H58" s="4">
        <v>98.533000000000001</v>
      </c>
    </row>
    <row r="59" spans="1:8">
      <c r="A59" s="4" t="s">
        <v>27</v>
      </c>
      <c r="B59" s="4" t="s">
        <v>59</v>
      </c>
      <c r="C59" s="4">
        <v>622.14300000000003</v>
      </c>
      <c r="D59" s="4">
        <v>557.10199999999998</v>
      </c>
      <c r="E59" s="4">
        <v>646.75800000000004</v>
      </c>
      <c r="F59" s="4">
        <v>640.98299999999995</v>
      </c>
      <c r="G59" s="4">
        <v>545.65300000000002</v>
      </c>
      <c r="H59" s="4">
        <v>575.25900000000001</v>
      </c>
    </row>
    <row r="60" spans="1:8">
      <c r="A60" s="4" t="s">
        <v>29</v>
      </c>
      <c r="B60" s="4" t="s">
        <v>59</v>
      </c>
      <c r="C60" s="4">
        <v>802.29300000000001</v>
      </c>
      <c r="D60" s="4">
        <v>769.48400000000004</v>
      </c>
      <c r="E60" s="4">
        <v>792.447</v>
      </c>
      <c r="F60" s="4">
        <v>796.39800000000002</v>
      </c>
      <c r="G60" s="4">
        <v>703.18100000000004</v>
      </c>
      <c r="H60" s="4">
        <v>731.65099999999995</v>
      </c>
    </row>
    <row r="61" spans="1:8">
      <c r="A61" s="4" t="s">
        <v>31</v>
      </c>
      <c r="B61" s="4" t="s">
        <v>59</v>
      </c>
      <c r="C61" s="4">
        <v>359.77800000000002</v>
      </c>
      <c r="D61" s="4">
        <v>344.428</v>
      </c>
      <c r="E61" s="4">
        <v>400.536</v>
      </c>
      <c r="F61" s="4">
        <v>435.00900000000001</v>
      </c>
      <c r="G61" s="4">
        <v>402.51</v>
      </c>
      <c r="H61" s="4">
        <v>434.50900000000001</v>
      </c>
    </row>
    <row r="62" spans="1:8">
      <c r="A62" s="4" t="s">
        <v>33</v>
      </c>
      <c r="B62" s="4" t="s">
        <v>59</v>
      </c>
      <c r="C62" s="4">
        <v>1218.5419999999999</v>
      </c>
      <c r="D62" s="4">
        <v>1186.23</v>
      </c>
      <c r="E62" s="4">
        <v>1126.453</v>
      </c>
      <c r="F62" s="4">
        <v>1042.181</v>
      </c>
      <c r="G62" s="4">
        <v>938.13000000000011</v>
      </c>
      <c r="H62" s="4">
        <v>945.41399999999999</v>
      </c>
    </row>
    <row r="63" spans="1:8">
      <c r="A63" s="4" t="s">
        <v>8</v>
      </c>
      <c r="B63" s="4" t="s">
        <v>59</v>
      </c>
      <c r="C63" s="4">
        <v>0</v>
      </c>
      <c r="D63" s="4">
        <v>0</v>
      </c>
      <c r="E63" s="4">
        <v>0</v>
      </c>
      <c r="F63" s="4">
        <v>0</v>
      </c>
      <c r="G63" s="4">
        <v>5.4189999999999996</v>
      </c>
      <c r="H63" s="4">
        <v>5.5640000000000001</v>
      </c>
    </row>
    <row r="64" spans="1:8">
      <c r="A64" s="4" t="s">
        <v>36</v>
      </c>
      <c r="B64" s="4" t="s">
        <v>59</v>
      </c>
      <c r="C64" s="4">
        <v>811.90200000000004</v>
      </c>
      <c r="D64" s="4">
        <v>782.322</v>
      </c>
      <c r="E64" s="4">
        <v>817.22400000000005</v>
      </c>
      <c r="F64" s="4">
        <v>858.34299999999996</v>
      </c>
      <c r="G64" s="4">
        <v>812.65899999999999</v>
      </c>
      <c r="H64" s="4">
        <v>819.57299999999998</v>
      </c>
    </row>
    <row r="65" spans="1:8">
      <c r="A65" s="4" t="s">
        <v>38</v>
      </c>
      <c r="B65" s="4" t="s">
        <v>59</v>
      </c>
      <c r="C65" s="4">
        <v>858.30100000000004</v>
      </c>
      <c r="D65" s="4">
        <v>840.71</v>
      </c>
      <c r="E65" s="4">
        <v>804.69200000000001</v>
      </c>
      <c r="F65" s="4">
        <v>729.06299999999999</v>
      </c>
      <c r="G65" s="4">
        <v>640.63499999999999</v>
      </c>
      <c r="H65" s="4">
        <v>683.28899999999999</v>
      </c>
    </row>
    <row r="66" spans="1:8">
      <c r="A66" s="4" t="s">
        <v>40</v>
      </c>
      <c r="B66" s="4" t="s">
        <v>59</v>
      </c>
      <c r="C66" s="4">
        <v>777.83600000000001</v>
      </c>
      <c r="D66" s="4">
        <v>714.23599999999999</v>
      </c>
      <c r="E66" s="4">
        <v>680.62900000000002</v>
      </c>
      <c r="F66" s="4">
        <v>660.40499999999997</v>
      </c>
      <c r="G66" s="4">
        <v>652.03499999999997</v>
      </c>
      <c r="H66" s="4">
        <v>668.72500000000002</v>
      </c>
    </row>
    <row r="67" spans="1:8">
      <c r="A67" s="4" t="s">
        <v>41</v>
      </c>
      <c r="B67" s="4" t="s">
        <v>59</v>
      </c>
      <c r="C67" s="4">
        <v>103.627</v>
      </c>
      <c r="D67" s="4">
        <v>110.119</v>
      </c>
      <c r="E67" s="4">
        <v>75.141000000000005</v>
      </c>
      <c r="F67" s="4">
        <v>72.549000000000007</v>
      </c>
      <c r="G67" s="4">
        <v>45.344000000000001</v>
      </c>
      <c r="H67" s="4">
        <v>28.501999999999999</v>
      </c>
    </row>
    <row r="68" spans="1:8">
      <c r="A68" s="4" t="s">
        <v>5</v>
      </c>
      <c r="B68" s="4" t="s">
        <v>59</v>
      </c>
      <c r="C68" s="4">
        <v>544.09899999999993</v>
      </c>
      <c r="D68" s="4">
        <v>499.37799999999999</v>
      </c>
      <c r="E68" s="4">
        <v>478.661</v>
      </c>
      <c r="F68" s="4">
        <v>500.45299999999997</v>
      </c>
      <c r="G68" s="4">
        <v>522.96600000000001</v>
      </c>
      <c r="H68" s="4">
        <v>517.59699999999998</v>
      </c>
    </row>
    <row r="69" spans="1:8">
      <c r="A69" s="4" t="s">
        <v>6</v>
      </c>
      <c r="B69" s="4" t="s">
        <v>59</v>
      </c>
      <c r="C69" s="4">
        <v>93.456999999999994</v>
      </c>
      <c r="D69" s="4">
        <v>74.564999999999998</v>
      </c>
      <c r="E69" s="4">
        <v>104.67100000000001</v>
      </c>
      <c r="F69" s="4">
        <v>131.46199999999999</v>
      </c>
      <c r="G69" s="4">
        <v>157.654</v>
      </c>
      <c r="H69" s="4">
        <v>152.702</v>
      </c>
    </row>
    <row r="70" spans="1:8">
      <c r="A70" s="4" t="s">
        <v>42</v>
      </c>
      <c r="B70" s="4" t="s">
        <v>59</v>
      </c>
      <c r="C70" s="4">
        <v>6.0640000000000001</v>
      </c>
      <c r="D70" s="4">
        <v>17.288</v>
      </c>
      <c r="E70" s="4">
        <v>9.6630000000000003</v>
      </c>
      <c r="F70" s="4">
        <v>20.46</v>
      </c>
      <c r="G70" s="4">
        <v>9.0250000000000004</v>
      </c>
      <c r="H70" s="4">
        <v>8.3569999999999993</v>
      </c>
    </row>
    <row r="71" spans="1:8">
      <c r="A71" s="4" t="s">
        <v>44</v>
      </c>
      <c r="B71" s="4" t="s">
        <v>59</v>
      </c>
      <c r="C71" s="4">
        <v>22.111000000000001</v>
      </c>
      <c r="D71" s="4">
        <v>51.301000000000002</v>
      </c>
      <c r="E71" s="4">
        <v>17.905999999999999</v>
      </c>
      <c r="F71" s="4">
        <v>14.766</v>
      </c>
      <c r="G71" s="4">
        <v>16.122</v>
      </c>
      <c r="H71" s="4">
        <v>17.300999999999998</v>
      </c>
    </row>
    <row r="72" spans="1:8">
      <c r="A72" s="4" t="s">
        <v>46</v>
      </c>
      <c r="B72" s="4" t="s">
        <v>59</v>
      </c>
      <c r="C72" s="4">
        <v>375.64100000000002</v>
      </c>
      <c r="D72" s="4">
        <v>305.09699999999998</v>
      </c>
      <c r="E72" s="4">
        <v>496.26100000000002</v>
      </c>
      <c r="F72" s="4">
        <v>487.512</v>
      </c>
      <c r="G72" s="4">
        <v>167.33799999999999</v>
      </c>
      <c r="H72" s="4">
        <v>270.40899999999999</v>
      </c>
    </row>
    <row r="73" spans="1:8">
      <c r="A73" s="4" t="s">
        <v>48</v>
      </c>
      <c r="B73" s="4" t="s">
        <v>59</v>
      </c>
      <c r="C73" s="4">
        <v>239.68</v>
      </c>
      <c r="D73" s="4">
        <v>233.21600000000001</v>
      </c>
      <c r="E73" s="4">
        <v>87.248999999999995</v>
      </c>
      <c r="F73" s="4">
        <v>50.534999999999997</v>
      </c>
      <c r="G73" s="4">
        <v>170.405</v>
      </c>
      <c r="H73" s="4">
        <v>38.052999999999997</v>
      </c>
    </row>
    <row r="74" spans="1:8">
      <c r="A74" s="4" t="s">
        <v>50</v>
      </c>
      <c r="B74" s="4" t="s">
        <v>59</v>
      </c>
      <c r="C74" s="4">
        <v>326.63400000000001</v>
      </c>
      <c r="D74" s="4">
        <v>320.34699999999998</v>
      </c>
      <c r="E74" s="4">
        <v>376.66399999999999</v>
      </c>
      <c r="F74" s="4">
        <v>413.28899999999999</v>
      </c>
      <c r="G74" s="4">
        <v>378.03100000000001</v>
      </c>
      <c r="H74" s="4">
        <v>400.3</v>
      </c>
    </row>
    <row r="75" spans="1:8">
      <c r="A75" s="4" t="s">
        <v>51</v>
      </c>
      <c r="B75" s="4" t="s">
        <v>59</v>
      </c>
      <c r="C75" s="4">
        <v>22.353000000000002</v>
      </c>
      <c r="D75" s="4">
        <v>17.356999999999999</v>
      </c>
      <c r="E75" s="4">
        <v>16.239000000000001</v>
      </c>
      <c r="F75" s="4">
        <v>16.004000000000001</v>
      </c>
      <c r="G75" s="4">
        <v>17.282</v>
      </c>
      <c r="H75" s="4">
        <v>27.193000000000001</v>
      </c>
    </row>
    <row r="76" spans="1:8">
      <c r="A76" s="4" t="s">
        <v>0</v>
      </c>
      <c r="B76" s="4" t="s">
        <v>64</v>
      </c>
      <c r="C76" s="4">
        <v>6714.2550000000001</v>
      </c>
      <c r="D76" s="4">
        <v>7508.7529999999997</v>
      </c>
      <c r="E76" s="4">
        <v>8024.0439999999999</v>
      </c>
      <c r="F76" s="4">
        <v>8691.4490000000005</v>
      </c>
      <c r="G76" s="4">
        <v>8568.3169999999991</v>
      </c>
      <c r="H76" s="4">
        <v>8183.143</v>
      </c>
    </row>
    <row r="77" spans="1:8">
      <c r="A77" s="4" t="s">
        <v>1</v>
      </c>
      <c r="B77" s="4" t="s">
        <v>64</v>
      </c>
      <c r="C77" s="4">
        <v>6339.067</v>
      </c>
      <c r="D77" s="4">
        <v>6961.0320000000002</v>
      </c>
      <c r="E77" s="4">
        <v>7321.3950000000004</v>
      </c>
      <c r="F77" s="4">
        <v>7702.1629999999996</v>
      </c>
      <c r="G77" s="4">
        <v>7675.6620000000003</v>
      </c>
      <c r="H77" s="4">
        <v>7408.2879999999996</v>
      </c>
    </row>
    <row r="78" spans="1:8">
      <c r="A78" s="4" t="s">
        <v>2</v>
      </c>
      <c r="B78" s="4" t="s">
        <v>64</v>
      </c>
      <c r="C78" s="4">
        <v>375.18799999999999</v>
      </c>
      <c r="D78" s="4">
        <v>547.721</v>
      </c>
      <c r="E78" s="4">
        <v>702.649</v>
      </c>
      <c r="F78" s="4">
        <v>989.28599999999994</v>
      </c>
      <c r="G78" s="4">
        <v>892.65499999999997</v>
      </c>
      <c r="H78" s="4">
        <v>774.85500000000002</v>
      </c>
    </row>
    <row r="79" spans="1:8">
      <c r="A79" s="4" t="s">
        <v>3</v>
      </c>
      <c r="B79" s="4" t="s">
        <v>64</v>
      </c>
      <c r="C79" s="4">
        <v>473.58</v>
      </c>
      <c r="D79" s="4">
        <v>131.17400000000001</v>
      </c>
      <c r="E79" s="4">
        <v>203.83699999999999</v>
      </c>
      <c r="F79" s="4">
        <v>452.81599999999997</v>
      </c>
      <c r="G79" s="4">
        <v>324.88600000000002</v>
      </c>
      <c r="H79" s="4">
        <v>244.50399999999999</v>
      </c>
    </row>
    <row r="80" spans="1:8">
      <c r="A80" s="4" t="s">
        <v>56</v>
      </c>
      <c r="B80" s="4" t="s">
        <v>64</v>
      </c>
      <c r="C80" s="4">
        <v>8.125</v>
      </c>
      <c r="D80" s="4">
        <v>7.6589999999999998</v>
      </c>
      <c r="E80" s="4">
        <v>38.847000000000001</v>
      </c>
      <c r="F80" s="4">
        <v>45.304000000000002</v>
      </c>
      <c r="G80" s="4">
        <v>46.652000000000001</v>
      </c>
      <c r="H80" s="4">
        <v>35.414000000000001</v>
      </c>
    </row>
    <row r="81" spans="1:8">
      <c r="A81" s="4" t="s">
        <v>16</v>
      </c>
      <c r="B81" s="4" t="s">
        <v>64</v>
      </c>
      <c r="C81" s="4">
        <v>91.159000000000006</v>
      </c>
      <c r="D81" s="4">
        <v>88.043999999999997</v>
      </c>
      <c r="E81" s="4">
        <v>98.507999999999996</v>
      </c>
      <c r="F81" s="4">
        <v>108.592</v>
      </c>
      <c r="G81" s="4">
        <v>104.11499999999999</v>
      </c>
      <c r="H81" s="4">
        <v>91.290999999999997</v>
      </c>
    </row>
    <row r="82" spans="1:8">
      <c r="A82" s="4" t="s">
        <v>18</v>
      </c>
      <c r="B82" s="4" t="s">
        <v>64</v>
      </c>
      <c r="C82" s="4">
        <v>390.54599999999999</v>
      </c>
      <c r="D82" s="4">
        <v>50.789000000000001</v>
      </c>
      <c r="E82" s="4">
        <v>144.17599999999999</v>
      </c>
      <c r="F82" s="4">
        <v>389.52800000000002</v>
      </c>
      <c r="G82" s="4">
        <v>267.423</v>
      </c>
      <c r="H82" s="4">
        <v>188.62700000000001</v>
      </c>
    </row>
    <row r="83" spans="1:8">
      <c r="A83" s="4" t="s">
        <v>20</v>
      </c>
      <c r="B83" s="4" t="s">
        <v>64</v>
      </c>
      <c r="C83" s="4">
        <v>29.995999999999981</v>
      </c>
      <c r="D83" s="4">
        <v>27.939</v>
      </c>
      <c r="E83" s="4">
        <v>32.98899999999999</v>
      </c>
      <c r="F83" s="4">
        <v>56.313000000000052</v>
      </c>
      <c r="G83" s="4">
        <v>32.312000000000012</v>
      </c>
      <c r="H83" s="4">
        <v>22.329000000000011</v>
      </c>
    </row>
    <row r="84" spans="1:8">
      <c r="A84" s="4" t="s">
        <v>21</v>
      </c>
      <c r="B84" s="4" t="s">
        <v>64</v>
      </c>
      <c r="C84" s="4">
        <v>360.55</v>
      </c>
      <c r="D84" s="4">
        <v>22.85</v>
      </c>
      <c r="E84" s="4">
        <v>111.187</v>
      </c>
      <c r="F84" s="4">
        <v>333.21499999999997</v>
      </c>
      <c r="G84" s="4">
        <v>235.11099999999999</v>
      </c>
      <c r="H84" s="4">
        <v>166.298</v>
      </c>
    </row>
    <row r="85" spans="1:8">
      <c r="A85" s="4" t="s">
        <v>57</v>
      </c>
      <c r="B85" s="4" t="s">
        <v>64</v>
      </c>
      <c r="C85" s="4">
        <v>359.13</v>
      </c>
      <c r="D85" s="4">
        <v>21.213999999999999</v>
      </c>
      <c r="E85" s="4">
        <v>110.35299999999999</v>
      </c>
      <c r="F85" s="4">
        <v>330.45400000000001</v>
      </c>
      <c r="G85" s="4">
        <v>232.744</v>
      </c>
      <c r="H85" s="4">
        <v>164.053</v>
      </c>
    </row>
    <row r="86" spans="1:8">
      <c r="A86" s="4" t="s">
        <v>23</v>
      </c>
      <c r="B86" s="4" t="s">
        <v>64</v>
      </c>
      <c r="C86" s="4">
        <v>1518.982</v>
      </c>
      <c r="D86" s="4">
        <v>1586.07</v>
      </c>
      <c r="E86" s="4">
        <v>1617.702</v>
      </c>
      <c r="F86" s="4">
        <v>1552.675</v>
      </c>
      <c r="G86" s="4">
        <v>1464.9960000000001</v>
      </c>
      <c r="H86" s="4">
        <v>1359.3009999999999</v>
      </c>
    </row>
    <row r="87" spans="1:8">
      <c r="A87" s="4" t="s">
        <v>24</v>
      </c>
      <c r="B87" s="4" t="s">
        <v>64</v>
      </c>
      <c r="C87" s="4">
        <v>70.733000000000004</v>
      </c>
      <c r="D87" s="4">
        <v>67.713999999999999</v>
      </c>
      <c r="E87" s="4">
        <v>62.954999999999998</v>
      </c>
      <c r="F87" s="4">
        <v>66.213999999999999</v>
      </c>
      <c r="G87" s="4">
        <v>99.021000000000001</v>
      </c>
      <c r="H87" s="4">
        <v>142.51599999999999</v>
      </c>
    </row>
    <row r="88" spans="1:8">
      <c r="A88" s="4" t="s">
        <v>25</v>
      </c>
      <c r="B88" s="4" t="s">
        <v>64</v>
      </c>
      <c r="C88" s="4">
        <v>4639.1419999999998</v>
      </c>
      <c r="D88" s="4">
        <v>4720.3209999999999</v>
      </c>
      <c r="E88" s="4">
        <v>5047.741</v>
      </c>
      <c r="F88" s="4">
        <v>4806.6580000000004</v>
      </c>
      <c r="G88" s="4">
        <v>4479.616</v>
      </c>
      <c r="H88" s="4">
        <v>4245.1639999999998</v>
      </c>
    </row>
    <row r="89" spans="1:8">
      <c r="A89" s="4" t="s">
        <v>4</v>
      </c>
      <c r="B89" s="4" t="s">
        <v>64</v>
      </c>
      <c r="C89" s="4">
        <v>234.92400000000001</v>
      </c>
      <c r="D89" s="4">
        <v>303.54199999999997</v>
      </c>
      <c r="E89" s="4">
        <v>268.24299999999999</v>
      </c>
      <c r="F89" s="4">
        <v>230.28800000000001</v>
      </c>
      <c r="G89" s="4">
        <v>220.637</v>
      </c>
      <c r="H89" s="4">
        <v>216.52699999999999</v>
      </c>
    </row>
    <row r="90" spans="1:8">
      <c r="A90" s="4" t="s">
        <v>26</v>
      </c>
      <c r="B90" s="4" t="s">
        <v>64</v>
      </c>
      <c r="C90" s="4">
        <v>102.539</v>
      </c>
      <c r="D90" s="4">
        <v>199.55</v>
      </c>
      <c r="E90" s="4">
        <v>138.036</v>
      </c>
      <c r="F90" s="4">
        <v>152.51</v>
      </c>
      <c r="G90" s="4">
        <v>124.515</v>
      </c>
      <c r="H90" s="4">
        <v>108.583</v>
      </c>
    </row>
    <row r="91" spans="1:8">
      <c r="A91" s="4" t="s">
        <v>27</v>
      </c>
      <c r="B91" s="4" t="s">
        <v>64</v>
      </c>
      <c r="C91" s="4">
        <v>2072.5120000000002</v>
      </c>
      <c r="D91" s="4">
        <v>1585.586</v>
      </c>
      <c r="E91" s="4">
        <v>1671.9780000000001</v>
      </c>
      <c r="F91" s="4">
        <v>1260.9480000000001</v>
      </c>
      <c r="G91" s="4">
        <v>1053.633</v>
      </c>
      <c r="H91" s="4">
        <v>1115.145</v>
      </c>
    </row>
    <row r="92" spans="1:8">
      <c r="A92" s="4" t="s">
        <v>46</v>
      </c>
      <c r="B92" s="4" t="s">
        <v>64</v>
      </c>
      <c r="C92" s="4">
        <v>1524.318</v>
      </c>
      <c r="D92" s="4">
        <v>1239.0719999999999</v>
      </c>
      <c r="E92" s="4">
        <v>1104.9659999999999</v>
      </c>
      <c r="F92" s="4">
        <v>733.90800000000002</v>
      </c>
      <c r="G92" s="4">
        <v>808.98199999999997</v>
      </c>
      <c r="H92" s="4">
        <v>792.24800000000005</v>
      </c>
    </row>
    <row r="93" spans="1:8">
      <c r="A93" s="4" t="s">
        <v>29</v>
      </c>
      <c r="B93" s="4" t="s">
        <v>64</v>
      </c>
      <c r="C93" s="4">
        <v>2515.5309999999999</v>
      </c>
      <c r="D93" s="4">
        <v>2151.5250000000001</v>
      </c>
      <c r="E93" s="4">
        <v>2127.5990000000002</v>
      </c>
      <c r="F93" s="4">
        <v>1707.2660000000001</v>
      </c>
      <c r="G93" s="4">
        <v>1500.614</v>
      </c>
      <c r="H93" s="4">
        <v>1525.386</v>
      </c>
    </row>
    <row r="94" spans="1:8">
      <c r="A94" s="4" t="s">
        <v>58</v>
      </c>
      <c r="B94" s="4" t="s">
        <v>64</v>
      </c>
      <c r="C94" s="4">
        <v>3028.837</v>
      </c>
      <c r="D94" s="4">
        <v>2818.741</v>
      </c>
      <c r="E94" s="4">
        <v>2783.5940000000001</v>
      </c>
      <c r="F94" s="4">
        <v>2899.848</v>
      </c>
      <c r="G94" s="4">
        <v>2732.2860000000001</v>
      </c>
      <c r="H94" s="4">
        <v>2717.8310000000001</v>
      </c>
    </row>
    <row r="95" spans="1:8">
      <c r="A95" s="4" t="s">
        <v>40</v>
      </c>
      <c r="B95" s="4" t="s">
        <v>64</v>
      </c>
      <c r="C95" s="4">
        <v>3034.8359999999998</v>
      </c>
      <c r="D95" s="4">
        <v>2826.3760000000002</v>
      </c>
      <c r="E95" s="4">
        <v>2792.0630000000001</v>
      </c>
      <c r="F95" s="4">
        <v>2910.5129999999999</v>
      </c>
      <c r="G95" s="4">
        <v>2744.7359999999999</v>
      </c>
      <c r="H95" s="4">
        <v>2728.4520000000002</v>
      </c>
    </row>
    <row r="96" spans="1:8">
      <c r="A96" s="4" t="s">
        <v>33</v>
      </c>
      <c r="B96" s="4" t="s">
        <v>64</v>
      </c>
      <c r="C96" s="4">
        <v>2050.0709999999999</v>
      </c>
      <c r="D96" s="4">
        <v>2023.4110000000001</v>
      </c>
      <c r="E96" s="4">
        <v>2269.0839999999998</v>
      </c>
      <c r="F96" s="4">
        <v>2063.127</v>
      </c>
      <c r="G96" s="4">
        <v>1829.31</v>
      </c>
      <c r="H96" s="4">
        <v>1672.675</v>
      </c>
    </row>
    <row r="97" spans="1:8">
      <c r="A97" s="4" t="s">
        <v>8</v>
      </c>
      <c r="B97" s="4" t="s">
        <v>64</v>
      </c>
      <c r="C97" s="4">
        <v>1179.433</v>
      </c>
      <c r="D97" s="4">
        <v>1079.69</v>
      </c>
      <c r="E97" s="4">
        <v>979.95</v>
      </c>
      <c r="F97" s="4">
        <v>385</v>
      </c>
      <c r="G97" s="4">
        <v>305</v>
      </c>
      <c r="H97" s="4">
        <v>225</v>
      </c>
    </row>
    <row r="98" spans="1:8">
      <c r="A98" s="4" t="s">
        <v>38</v>
      </c>
      <c r="B98" s="4" t="s">
        <v>64</v>
      </c>
      <c r="C98" s="4">
        <v>2432.0360000000001</v>
      </c>
      <c r="D98" s="4">
        <v>2319.4580000000001</v>
      </c>
      <c r="E98" s="4">
        <v>1603.481</v>
      </c>
      <c r="F98" s="4">
        <v>1695.318</v>
      </c>
      <c r="G98" s="4">
        <v>1431.0029999999999</v>
      </c>
      <c r="H98" s="4">
        <v>1152.6880000000001</v>
      </c>
    </row>
    <row r="99" spans="1:8">
      <c r="A99" s="4" t="s">
        <v>50</v>
      </c>
      <c r="B99" s="4" t="s">
        <v>64</v>
      </c>
      <c r="C99" s="4">
        <v>818.56100000000004</v>
      </c>
      <c r="D99" s="4">
        <v>850.23099999999999</v>
      </c>
      <c r="E99" s="4">
        <v>1024.7760000000001</v>
      </c>
      <c r="F99" s="4">
        <v>1015.1369999999999</v>
      </c>
      <c r="G99" s="4">
        <v>969.48300000000006</v>
      </c>
      <c r="H99" s="4">
        <v>987.62900000000002</v>
      </c>
    </row>
    <row r="100" spans="1:8">
      <c r="A100" s="4" t="s">
        <v>36</v>
      </c>
      <c r="B100" s="4" t="s">
        <v>64</v>
      </c>
      <c r="C100" s="4">
        <v>1687.8009999999999</v>
      </c>
      <c r="D100" s="4">
        <v>1726.0119999999999</v>
      </c>
      <c r="E100" s="4">
        <v>2779.7959999999998</v>
      </c>
      <c r="F100" s="4">
        <v>1908.0930000000001</v>
      </c>
      <c r="G100" s="4">
        <v>1804.491</v>
      </c>
      <c r="H100" s="4">
        <v>1889.41</v>
      </c>
    </row>
    <row r="101" spans="1:8">
      <c r="A101" s="4" t="s">
        <v>41</v>
      </c>
      <c r="B101" s="4" t="s">
        <v>64</v>
      </c>
      <c r="C101" s="4">
        <v>57.722999999999999</v>
      </c>
      <c r="D101" s="4">
        <v>220.67500000000001</v>
      </c>
      <c r="E101" s="4">
        <v>163.11699999999999</v>
      </c>
      <c r="F101" s="4">
        <v>250.65700000000001</v>
      </c>
      <c r="G101" s="4">
        <v>327.60000000000002</v>
      </c>
      <c r="H101" s="4">
        <v>204.655</v>
      </c>
    </row>
    <row r="102" spans="1:8">
      <c r="A102" s="4" t="s">
        <v>42</v>
      </c>
      <c r="B102" s="4" t="s">
        <v>64</v>
      </c>
      <c r="C102" s="4">
        <v>37.326000000000001</v>
      </c>
      <c r="D102" s="4">
        <v>51.006999999999998</v>
      </c>
      <c r="E102" s="4">
        <v>75.867999999999995</v>
      </c>
      <c r="F102" s="4">
        <v>89.43</v>
      </c>
      <c r="G102" s="4">
        <v>57.890999999999998</v>
      </c>
      <c r="H102" s="4">
        <v>52.468000000000004</v>
      </c>
    </row>
    <row r="103" spans="1:8">
      <c r="A103" s="4" t="s">
        <v>44</v>
      </c>
      <c r="B103" s="4" t="s">
        <v>64</v>
      </c>
      <c r="C103" s="4">
        <v>65.212999999999994</v>
      </c>
      <c r="D103" s="4">
        <v>148.54300000000001</v>
      </c>
      <c r="E103" s="4">
        <v>62.167999999999999</v>
      </c>
      <c r="F103" s="4">
        <v>63.08</v>
      </c>
      <c r="G103" s="4">
        <v>66.623999999999995</v>
      </c>
      <c r="H103" s="4">
        <v>56.115000000000002</v>
      </c>
    </row>
    <row r="104" spans="1:8">
      <c r="A104" s="4" t="s">
        <v>48</v>
      </c>
      <c r="B104" s="4" t="s">
        <v>64</v>
      </c>
      <c r="C104" s="4">
        <v>569.41600000000005</v>
      </c>
      <c r="D104" s="4">
        <v>346.51400000000001</v>
      </c>
      <c r="E104" s="4">
        <v>567.01199999999994</v>
      </c>
      <c r="F104" s="4">
        <v>527.04</v>
      </c>
      <c r="G104" s="4">
        <v>244.65100000000001</v>
      </c>
      <c r="H104" s="4">
        <v>322.89699999999999</v>
      </c>
    </row>
    <row r="105" spans="1:8">
      <c r="A105" s="4" t="s">
        <v>5</v>
      </c>
      <c r="B105" s="4" t="s">
        <v>64</v>
      </c>
      <c r="C105" s="4">
        <v>1099.1479999999999</v>
      </c>
      <c r="D105" s="4">
        <v>1110.08</v>
      </c>
      <c r="E105" s="4">
        <v>1177.19</v>
      </c>
      <c r="F105" s="4">
        <v>1199.729</v>
      </c>
      <c r="G105" s="4">
        <v>1189.723</v>
      </c>
      <c r="H105" s="4">
        <v>1142.354</v>
      </c>
    </row>
    <row r="106" spans="1:8">
      <c r="A106" s="4" t="s">
        <v>51</v>
      </c>
      <c r="B106" s="4" t="s">
        <v>64</v>
      </c>
      <c r="C106" s="4">
        <v>0</v>
      </c>
      <c r="D106" s="4">
        <v>0</v>
      </c>
      <c r="E106" s="4">
        <v>0</v>
      </c>
      <c r="F106" s="4">
        <v>0</v>
      </c>
      <c r="G106" s="4">
        <v>0</v>
      </c>
      <c r="H106" s="4">
        <v>0</v>
      </c>
    </row>
    <row r="107" spans="1:8">
      <c r="A107" s="4" t="s">
        <v>6</v>
      </c>
      <c r="B107" s="4" t="s">
        <v>64</v>
      </c>
      <c r="C107" s="4">
        <v>0</v>
      </c>
      <c r="D107" s="4">
        <v>0</v>
      </c>
      <c r="E107" s="4">
        <v>0</v>
      </c>
      <c r="F107" s="4">
        <v>0</v>
      </c>
      <c r="G107" s="4">
        <v>0</v>
      </c>
      <c r="H107" s="4">
        <v>0</v>
      </c>
    </row>
    <row r="108" spans="1:8">
      <c r="A108" s="4" t="s">
        <v>0</v>
      </c>
      <c r="B108" s="4" t="s">
        <v>60</v>
      </c>
      <c r="C108" s="4">
        <v>956.38199999999995</v>
      </c>
      <c r="D108" s="4">
        <v>993.32399999999996</v>
      </c>
      <c r="E108" s="4">
        <v>845.79700000000003</v>
      </c>
      <c r="F108" s="4">
        <v>954.12800000000004</v>
      </c>
      <c r="G108" s="4">
        <v>906.04</v>
      </c>
      <c r="H108" s="4">
        <v>882.83500000000004</v>
      </c>
    </row>
    <row r="109" spans="1:8">
      <c r="A109" s="4" t="s">
        <v>1</v>
      </c>
      <c r="B109" s="4" t="s">
        <v>60</v>
      </c>
      <c r="C109" s="4">
        <v>285.36200000000002</v>
      </c>
      <c r="D109" s="4">
        <v>282.11599999999999</v>
      </c>
      <c r="E109" s="4">
        <v>230.82499999999999</v>
      </c>
      <c r="F109" s="4">
        <v>246.12700000000001</v>
      </c>
      <c r="G109" s="4">
        <v>234.16200000000001</v>
      </c>
      <c r="H109" s="4">
        <v>225.291</v>
      </c>
    </row>
    <row r="110" spans="1:8">
      <c r="A110" s="4" t="s">
        <v>5</v>
      </c>
      <c r="B110" s="4" t="s">
        <v>60</v>
      </c>
      <c r="C110" s="4">
        <v>265.46499999999997</v>
      </c>
      <c r="D110" s="4">
        <v>246.64699999999999</v>
      </c>
      <c r="E110" s="4">
        <v>174.96</v>
      </c>
      <c r="F110" s="4">
        <v>134.691</v>
      </c>
      <c r="G110" s="4">
        <v>119.47799999999999</v>
      </c>
      <c r="H110" s="4">
        <v>122.797</v>
      </c>
    </row>
    <row r="111" spans="1:8">
      <c r="A111" s="4" t="s">
        <v>16</v>
      </c>
      <c r="B111" s="4" t="s">
        <v>60</v>
      </c>
      <c r="C111" s="4">
        <v>25.094000000000001</v>
      </c>
      <c r="D111" s="4">
        <v>19.831</v>
      </c>
      <c r="E111" s="4">
        <v>14.493</v>
      </c>
      <c r="F111" s="4">
        <v>10.544</v>
      </c>
      <c r="G111" s="4">
        <v>10.471</v>
      </c>
      <c r="H111" s="4">
        <v>11.327999999999999</v>
      </c>
    </row>
    <row r="112" spans="1:8">
      <c r="A112" s="4" t="s">
        <v>18</v>
      </c>
      <c r="B112" s="4" t="s">
        <v>60</v>
      </c>
      <c r="C112" s="4">
        <v>117.777</v>
      </c>
      <c r="D112" s="4">
        <v>117.4</v>
      </c>
      <c r="E112" s="4">
        <v>61.854999999999997</v>
      </c>
      <c r="F112" s="4">
        <v>34.747</v>
      </c>
      <c r="G112" s="4">
        <v>14.69</v>
      </c>
      <c r="H112" s="4">
        <v>11.28</v>
      </c>
    </row>
    <row r="113" spans="1:8">
      <c r="A113" s="4" t="s">
        <v>20</v>
      </c>
      <c r="B113" s="4" t="s">
        <v>60</v>
      </c>
      <c r="C113" s="4">
        <v>-8.3169999999999931</v>
      </c>
      <c r="D113" s="4">
        <v>-6.6490000000000009</v>
      </c>
      <c r="E113" s="4">
        <v>5.9749999999999943</v>
      </c>
      <c r="F113" s="4">
        <v>1.777000000000001</v>
      </c>
      <c r="G113" s="4">
        <v>3.3109999999999999</v>
      </c>
      <c r="H113" s="4">
        <v>3.798999999999999</v>
      </c>
    </row>
    <row r="114" spans="1:8">
      <c r="A114" s="4" t="s">
        <v>57</v>
      </c>
      <c r="B114" s="4" t="s">
        <v>60</v>
      </c>
      <c r="C114" s="4">
        <v>124.114</v>
      </c>
      <c r="D114" s="4">
        <v>118.254</v>
      </c>
      <c r="E114" s="4">
        <v>60.578000000000003</v>
      </c>
      <c r="F114" s="4">
        <v>39.087000000000003</v>
      </c>
      <c r="G114" s="4">
        <v>12.342000000000001</v>
      </c>
      <c r="H114" s="4">
        <v>9.2810000000000006</v>
      </c>
    </row>
    <row r="115" spans="1:8">
      <c r="A115" s="4" t="s">
        <v>21</v>
      </c>
      <c r="B115" s="4" t="s">
        <v>60</v>
      </c>
      <c r="C115" s="4">
        <v>126.09399999999999</v>
      </c>
      <c r="D115" s="4">
        <v>124.04900000000001</v>
      </c>
      <c r="E115" s="4">
        <v>55.88</v>
      </c>
      <c r="F115" s="4">
        <v>32.97</v>
      </c>
      <c r="G115" s="4">
        <v>11.379</v>
      </c>
      <c r="H115" s="4">
        <v>7.4809999999999999</v>
      </c>
    </row>
    <row r="116" spans="1:8">
      <c r="A116" s="4" t="s">
        <v>23</v>
      </c>
      <c r="B116" s="4" t="s">
        <v>60</v>
      </c>
      <c r="C116" s="4">
        <v>304.46600000000001</v>
      </c>
      <c r="D116" s="4">
        <v>231.90799999999999</v>
      </c>
      <c r="E116" s="4">
        <v>175.73500000000001</v>
      </c>
      <c r="F116" s="4">
        <v>157.87899999999999</v>
      </c>
      <c r="G116" s="4">
        <v>144.84</v>
      </c>
      <c r="H116" s="4">
        <v>148.22</v>
      </c>
    </row>
    <row r="117" spans="1:8">
      <c r="A117" s="4" t="s">
        <v>26</v>
      </c>
      <c r="B117" s="4" t="s">
        <v>60</v>
      </c>
      <c r="C117" s="4">
        <v>173.18700000000001</v>
      </c>
      <c r="D117" s="4">
        <v>165.19800000000001</v>
      </c>
      <c r="E117" s="4">
        <v>150.19399999999999</v>
      </c>
      <c r="F117" s="4">
        <v>114.274</v>
      </c>
      <c r="G117" s="4">
        <v>101.54900000000001</v>
      </c>
      <c r="H117" s="4">
        <v>96.77600000000001</v>
      </c>
    </row>
    <row r="118" spans="1:8">
      <c r="A118" s="4" t="s">
        <v>24</v>
      </c>
      <c r="B118" s="4" t="s">
        <v>60</v>
      </c>
      <c r="C118" s="4">
        <v>2.8929999999999998</v>
      </c>
      <c r="D118" s="4">
        <v>0</v>
      </c>
      <c r="E118" s="4">
        <v>0</v>
      </c>
      <c r="F118" s="4">
        <v>0</v>
      </c>
      <c r="G118" s="4">
        <v>0</v>
      </c>
      <c r="H118" s="4">
        <v>0</v>
      </c>
    </row>
    <row r="119" spans="1:8">
      <c r="A119" s="4" t="s">
        <v>25</v>
      </c>
      <c r="B119" s="4" t="s">
        <v>60</v>
      </c>
      <c r="C119" s="4">
        <v>1245.0550000000001</v>
      </c>
      <c r="D119" s="4">
        <v>856.88300000000004</v>
      </c>
      <c r="E119" s="4">
        <v>653.71500000000003</v>
      </c>
      <c r="F119" s="4">
        <v>580.42200000000003</v>
      </c>
      <c r="G119" s="4">
        <v>606.66200000000003</v>
      </c>
      <c r="H119" s="4">
        <v>607.76499999999999</v>
      </c>
    </row>
    <row r="120" spans="1:8">
      <c r="A120" s="4" t="s">
        <v>4</v>
      </c>
      <c r="B120" s="4" t="s">
        <v>60</v>
      </c>
      <c r="C120" s="4">
        <v>18.053000000000001</v>
      </c>
      <c r="D120" s="4">
        <v>14.01</v>
      </c>
      <c r="E120" s="4">
        <v>8.6950000000000003</v>
      </c>
      <c r="F120" s="4">
        <v>9.2140000000000004</v>
      </c>
      <c r="G120" s="4">
        <v>9.7579999999999991</v>
      </c>
      <c r="H120" s="4">
        <v>8.8620000000000001</v>
      </c>
    </row>
    <row r="121" spans="1:8">
      <c r="A121" s="4" t="s">
        <v>42</v>
      </c>
      <c r="B121" s="4" t="s">
        <v>60</v>
      </c>
      <c r="C121" s="4">
        <v>4.9829999999999997</v>
      </c>
      <c r="D121" s="4">
        <v>5.7089999999999996</v>
      </c>
      <c r="E121" s="4">
        <v>4.1619999999999999</v>
      </c>
      <c r="F121" s="4">
        <v>2.6360000000000001</v>
      </c>
      <c r="G121" s="4">
        <v>3.6240000000000001</v>
      </c>
      <c r="H121" s="4">
        <v>2.4809999999999999</v>
      </c>
    </row>
    <row r="122" spans="1:8">
      <c r="A122" s="4" t="s">
        <v>27</v>
      </c>
      <c r="B122" s="4" t="s">
        <v>60</v>
      </c>
      <c r="C122" s="4">
        <v>167.19800000000001</v>
      </c>
      <c r="D122" s="4">
        <v>103.261</v>
      </c>
      <c r="E122" s="4">
        <v>186.39500000000001</v>
      </c>
      <c r="F122" s="4">
        <v>235.01300000000001</v>
      </c>
      <c r="G122" s="4">
        <v>146.578</v>
      </c>
      <c r="H122" s="4">
        <v>190.69800000000001</v>
      </c>
    </row>
    <row r="123" spans="1:8">
      <c r="A123" s="4" t="s">
        <v>46</v>
      </c>
      <c r="B123" s="4" t="s">
        <v>60</v>
      </c>
      <c r="C123" s="4">
        <v>0</v>
      </c>
      <c r="D123" s="4">
        <v>0</v>
      </c>
      <c r="E123" s="4">
        <v>100</v>
      </c>
      <c r="F123" s="4">
        <v>0</v>
      </c>
      <c r="G123" s="4">
        <v>0</v>
      </c>
      <c r="H123" s="4">
        <v>0</v>
      </c>
    </row>
    <row r="124" spans="1:8">
      <c r="A124" s="4" t="s">
        <v>29</v>
      </c>
      <c r="B124" s="4" t="s">
        <v>60</v>
      </c>
      <c r="C124" s="4">
        <v>307.18299999999999</v>
      </c>
      <c r="D124" s="4">
        <v>411.03500000000003</v>
      </c>
      <c r="E124" s="4">
        <v>385.904</v>
      </c>
      <c r="F124" s="4">
        <v>309.90199999999999</v>
      </c>
      <c r="G124" s="4">
        <v>221.251</v>
      </c>
      <c r="H124" s="4">
        <v>261.13900000000001</v>
      </c>
    </row>
    <row r="125" spans="1:8">
      <c r="A125" s="4" t="s">
        <v>50</v>
      </c>
      <c r="B125" s="4" t="s">
        <v>60</v>
      </c>
      <c r="C125" s="4">
        <v>38.554000000000002</v>
      </c>
      <c r="D125" s="4">
        <v>27.311</v>
      </c>
      <c r="E125" s="4">
        <v>28.17</v>
      </c>
      <c r="F125" s="4">
        <v>37.106999999999999</v>
      </c>
      <c r="G125" s="4">
        <v>28.937000000000001</v>
      </c>
      <c r="H125" s="4">
        <v>25.817</v>
      </c>
    </row>
    <row r="126" spans="1:8">
      <c r="A126" s="4" t="s">
        <v>31</v>
      </c>
      <c r="B126" s="4" t="s">
        <v>60</v>
      </c>
      <c r="C126" s="4">
        <v>166.82900000000001</v>
      </c>
      <c r="D126" s="4">
        <v>143.08600000000001</v>
      </c>
      <c r="E126" s="4">
        <v>129.745</v>
      </c>
      <c r="F126" s="4">
        <v>107.402</v>
      </c>
      <c r="G126" s="4">
        <v>95.263999999999996</v>
      </c>
      <c r="H126" s="4">
        <v>112.59399999999999</v>
      </c>
    </row>
    <row r="127" spans="1:8">
      <c r="A127" s="4" t="s">
        <v>33</v>
      </c>
      <c r="B127" s="4" t="s">
        <v>60</v>
      </c>
      <c r="C127" s="4">
        <v>663.46</v>
      </c>
      <c r="D127" s="4">
        <v>514.04600000000005</v>
      </c>
      <c r="E127" s="4">
        <v>331.62799999999999</v>
      </c>
      <c r="F127" s="4">
        <v>244.58199999999999</v>
      </c>
      <c r="G127" s="4">
        <v>248.249</v>
      </c>
      <c r="H127" s="4">
        <v>255.387</v>
      </c>
    </row>
    <row r="128" spans="1:8">
      <c r="A128" s="4" t="s">
        <v>8</v>
      </c>
      <c r="B128" s="4" t="s">
        <v>60</v>
      </c>
      <c r="C128" s="4">
        <v>57.412999999999997</v>
      </c>
      <c r="D128" s="4">
        <v>66.465000000000003</v>
      </c>
      <c r="E128" s="4">
        <v>0</v>
      </c>
      <c r="F128" s="4">
        <v>0</v>
      </c>
      <c r="G128" s="4">
        <v>0</v>
      </c>
      <c r="H128" s="4">
        <v>0</v>
      </c>
    </row>
    <row r="129" spans="1:8">
      <c r="A129" s="4" t="s">
        <v>36</v>
      </c>
      <c r="B129" s="4" t="s">
        <v>60</v>
      </c>
      <c r="C129" s="4">
        <v>432.73099999999999</v>
      </c>
      <c r="D129" s="4">
        <v>395.37099999999998</v>
      </c>
      <c r="E129" s="4">
        <v>289.49700000000001</v>
      </c>
      <c r="F129" s="4">
        <v>242.483</v>
      </c>
      <c r="G129" s="4">
        <v>211.07900000000001</v>
      </c>
      <c r="H129" s="4">
        <v>225.57499999999999</v>
      </c>
    </row>
    <row r="130" spans="1:8">
      <c r="A130" s="4" t="s">
        <v>38</v>
      </c>
      <c r="B130" s="4" t="s">
        <v>60</v>
      </c>
      <c r="C130" s="4">
        <v>502.899</v>
      </c>
      <c r="D130" s="4">
        <v>365.42599999999999</v>
      </c>
      <c r="E130" s="4">
        <v>215.96199999999999</v>
      </c>
      <c r="F130" s="4">
        <v>162.52699999999999</v>
      </c>
      <c r="G130" s="4">
        <v>176.119</v>
      </c>
      <c r="H130" s="4">
        <v>185.125</v>
      </c>
    </row>
    <row r="131" spans="1:8">
      <c r="A131" s="4" t="s">
        <v>40</v>
      </c>
      <c r="B131" s="4" t="s">
        <v>60</v>
      </c>
      <c r="C131" s="4">
        <v>616.60799999999995</v>
      </c>
      <c r="D131" s="4">
        <v>507.12099999999998</v>
      </c>
      <c r="E131" s="4">
        <v>534.16</v>
      </c>
      <c r="F131" s="4">
        <v>485.31400000000002</v>
      </c>
      <c r="G131" s="4">
        <v>440.71499999999997</v>
      </c>
      <c r="H131" s="4">
        <v>458.20400000000001</v>
      </c>
    </row>
    <row r="132" spans="1:8">
      <c r="A132" s="4" t="s">
        <v>58</v>
      </c>
      <c r="B132" s="4" t="s">
        <v>60</v>
      </c>
      <c r="C132" s="4">
        <v>617.053</v>
      </c>
      <c r="D132" s="4">
        <v>518.27300000000002</v>
      </c>
      <c r="E132" s="4">
        <v>550.01</v>
      </c>
      <c r="F132" s="4">
        <v>507.28100000000001</v>
      </c>
      <c r="G132" s="4">
        <v>464.27</v>
      </c>
      <c r="H132" s="4">
        <v>483.55900000000003</v>
      </c>
    </row>
    <row r="133" spans="1:8">
      <c r="A133" s="4" t="s">
        <v>41</v>
      </c>
      <c r="B133" s="4" t="s">
        <v>60</v>
      </c>
      <c r="C133" s="4">
        <v>0</v>
      </c>
      <c r="D133" s="4">
        <v>3.8140000000000001</v>
      </c>
      <c r="E133" s="4">
        <v>0</v>
      </c>
      <c r="F133" s="4">
        <v>68.305000000000007</v>
      </c>
      <c r="G133" s="4">
        <v>47.86</v>
      </c>
      <c r="H133" s="4">
        <v>0</v>
      </c>
    </row>
    <row r="134" spans="1:8">
      <c r="A134" s="4" t="s">
        <v>44</v>
      </c>
      <c r="B134" s="4" t="s">
        <v>60</v>
      </c>
      <c r="C134" s="4">
        <v>52.640999999999998</v>
      </c>
      <c r="D134" s="4">
        <v>45.433</v>
      </c>
      <c r="E134" s="4">
        <v>40.433999999999997</v>
      </c>
      <c r="F134" s="4">
        <v>25.724</v>
      </c>
      <c r="G134" s="4">
        <v>16.015999999999998</v>
      </c>
      <c r="H134" s="4">
        <v>15.468</v>
      </c>
    </row>
    <row r="135" spans="1:8">
      <c r="A135" s="4" t="s">
        <v>48</v>
      </c>
      <c r="B135" s="4" t="s">
        <v>60</v>
      </c>
      <c r="C135" s="4">
        <v>169.62799999999999</v>
      </c>
      <c r="D135" s="4">
        <v>119.181</v>
      </c>
      <c r="E135" s="4">
        <v>153.89500000000001</v>
      </c>
      <c r="F135" s="4">
        <v>143.41999999999999</v>
      </c>
      <c r="G135" s="4">
        <v>112.06699999999999</v>
      </c>
      <c r="H135" s="4">
        <v>161.292</v>
      </c>
    </row>
    <row r="136" spans="1:8">
      <c r="A136" s="4" t="s">
        <v>51</v>
      </c>
      <c r="B136" s="4" t="s">
        <v>60</v>
      </c>
      <c r="C136" s="4">
        <v>48.048999999999999</v>
      </c>
      <c r="D136" s="4">
        <v>33.357999999999997</v>
      </c>
      <c r="E136" s="4">
        <v>43.576000000000001</v>
      </c>
      <c r="F136" s="4">
        <v>36.470999999999997</v>
      </c>
      <c r="G136" s="4">
        <v>22.315000000000001</v>
      </c>
      <c r="H136" s="4">
        <v>32.549999999999997</v>
      </c>
    </row>
    <row r="137" spans="1:8">
      <c r="A137" s="4" t="s">
        <v>2</v>
      </c>
      <c r="B137" s="4" t="s">
        <v>60</v>
      </c>
      <c r="C137" s="4">
        <v>0</v>
      </c>
      <c r="D137" s="4">
        <v>0</v>
      </c>
      <c r="E137" s="4">
        <v>0</v>
      </c>
      <c r="F137" s="4">
        <v>0</v>
      </c>
      <c r="G137" s="4">
        <v>0</v>
      </c>
      <c r="H137" s="4">
        <v>0</v>
      </c>
    </row>
    <row r="138" spans="1:8">
      <c r="A138" s="4" t="s">
        <v>3</v>
      </c>
      <c r="B138" s="4" t="s">
        <v>60</v>
      </c>
      <c r="C138" s="4">
        <v>142.87100000000001</v>
      </c>
      <c r="D138" s="4">
        <v>137.23099999999999</v>
      </c>
      <c r="E138" s="4">
        <v>76.347999999999999</v>
      </c>
      <c r="F138" s="4">
        <v>45.290999999999997</v>
      </c>
      <c r="G138" s="4">
        <v>25.161000000000001</v>
      </c>
      <c r="H138" s="4">
        <v>22.608000000000001</v>
      </c>
    </row>
    <row r="139" spans="1:8">
      <c r="A139" s="4" t="s">
        <v>6</v>
      </c>
      <c r="B139" s="4" t="s">
        <v>60</v>
      </c>
      <c r="C139" s="4">
        <v>0</v>
      </c>
      <c r="D139" s="4">
        <v>0</v>
      </c>
      <c r="E139" s="4">
        <v>0</v>
      </c>
      <c r="F139" s="4">
        <v>0</v>
      </c>
      <c r="G139" s="4">
        <v>0</v>
      </c>
      <c r="H139" s="4">
        <v>0</v>
      </c>
    </row>
    <row r="140" spans="1:8">
      <c r="A140" s="4" t="s">
        <v>0</v>
      </c>
      <c r="B140" s="4" t="s">
        <v>61</v>
      </c>
      <c r="C140" s="4">
        <v>802.85199999999998</v>
      </c>
      <c r="D140" s="4">
        <v>997.91899999999998</v>
      </c>
      <c r="E140" s="4">
        <v>1063.1590000000001</v>
      </c>
      <c r="F140" s="4">
        <v>1276.771</v>
      </c>
      <c r="G140" s="4">
        <v>1055.992</v>
      </c>
      <c r="H140" s="4">
        <v>1081.3779999999999</v>
      </c>
    </row>
    <row r="141" spans="1:8">
      <c r="A141" s="4" t="s">
        <v>5</v>
      </c>
      <c r="B141" s="4" t="s">
        <v>61</v>
      </c>
      <c r="C141" s="4">
        <v>281.464</v>
      </c>
      <c r="D141" s="4">
        <v>312.32</v>
      </c>
      <c r="E141" s="4">
        <v>358.70400000000001</v>
      </c>
      <c r="F141" s="4">
        <v>385.065</v>
      </c>
      <c r="G141" s="4">
        <v>357.553</v>
      </c>
      <c r="H141" s="4">
        <v>374.33100000000002</v>
      </c>
    </row>
    <row r="142" spans="1:8">
      <c r="A142" s="4" t="s">
        <v>56</v>
      </c>
      <c r="B142" s="4" t="s">
        <v>61</v>
      </c>
      <c r="C142" s="4">
        <v>3.7749999999999999</v>
      </c>
      <c r="D142" s="4">
        <v>1.1850000000000001</v>
      </c>
      <c r="E142" s="4">
        <v>2.8239999999999998</v>
      </c>
      <c r="F142" s="4">
        <v>10.708</v>
      </c>
      <c r="G142" s="4">
        <v>5.3719999999999999</v>
      </c>
      <c r="H142" s="4">
        <v>2.4740000000000002</v>
      </c>
    </row>
    <row r="143" spans="1:8">
      <c r="A143" s="4" t="s">
        <v>16</v>
      </c>
      <c r="B143" s="4" t="s">
        <v>61</v>
      </c>
      <c r="C143" s="4">
        <v>5.0860000000000003</v>
      </c>
      <c r="D143" s="4">
        <v>4.758</v>
      </c>
      <c r="E143" s="4">
        <v>8.2759999999999998</v>
      </c>
      <c r="F143" s="4">
        <v>10.746</v>
      </c>
      <c r="G143" s="4">
        <v>13.239000000000001</v>
      </c>
      <c r="H143" s="4">
        <v>15.276</v>
      </c>
    </row>
    <row r="144" spans="1:8">
      <c r="A144" s="4" t="s">
        <v>18</v>
      </c>
      <c r="B144" s="4" t="s">
        <v>61</v>
      </c>
      <c r="C144" s="4">
        <v>143.74700000000001</v>
      </c>
      <c r="D144" s="4">
        <v>103.143</v>
      </c>
      <c r="E144" s="4">
        <v>84.44</v>
      </c>
      <c r="F144" s="4">
        <v>104.44199999999999</v>
      </c>
      <c r="G144" s="4">
        <v>38.450000000000003</v>
      </c>
      <c r="H144" s="4">
        <v>2.68</v>
      </c>
    </row>
    <row r="145" spans="1:8">
      <c r="A145" s="4" t="s">
        <v>20</v>
      </c>
      <c r="B145" s="4" t="s">
        <v>61</v>
      </c>
      <c r="C145" s="4">
        <v>3.4190000000000111</v>
      </c>
      <c r="D145" s="4">
        <v>13.067000000000011</v>
      </c>
      <c r="E145" s="4">
        <v>6.7349999999999994</v>
      </c>
      <c r="F145" s="4">
        <v>16.376999999999999</v>
      </c>
      <c r="G145" s="4">
        <v>6.3880000000000052</v>
      </c>
      <c r="H145" s="4">
        <v>1.028</v>
      </c>
    </row>
    <row r="146" spans="1:8">
      <c r="A146" s="4" t="s">
        <v>57</v>
      </c>
      <c r="B146" s="4" t="s">
        <v>61</v>
      </c>
      <c r="C146" s="4">
        <v>140.328</v>
      </c>
      <c r="D146" s="4">
        <v>90.075999999999993</v>
      </c>
      <c r="E146" s="4">
        <v>77.704999999999998</v>
      </c>
      <c r="F146" s="4">
        <v>88.064999999999998</v>
      </c>
      <c r="G146" s="4">
        <v>32.061999999999998</v>
      </c>
      <c r="H146" s="4">
        <v>1.698</v>
      </c>
    </row>
    <row r="147" spans="1:8">
      <c r="A147" s="4" t="s">
        <v>21</v>
      </c>
      <c r="B147" s="4" t="s">
        <v>61</v>
      </c>
      <c r="C147" s="4">
        <v>140.328</v>
      </c>
      <c r="D147" s="4">
        <v>90.075999999999993</v>
      </c>
      <c r="E147" s="4">
        <v>77.704999999999998</v>
      </c>
      <c r="F147" s="4">
        <v>88.064999999999998</v>
      </c>
      <c r="G147" s="4">
        <v>32.061999999999998</v>
      </c>
      <c r="H147" s="4">
        <v>1.6519999999999999</v>
      </c>
    </row>
    <row r="148" spans="1:8">
      <c r="A148" s="4" t="s">
        <v>23</v>
      </c>
      <c r="B148" s="4" t="s">
        <v>61</v>
      </c>
      <c r="C148" s="4">
        <v>106.952</v>
      </c>
      <c r="D148" s="4">
        <v>121.694</v>
      </c>
      <c r="E148" s="4">
        <v>109.461</v>
      </c>
      <c r="F148" s="4">
        <v>96.753</v>
      </c>
      <c r="G148" s="4">
        <v>142.33099999999999</v>
      </c>
      <c r="H148" s="4">
        <v>123.941</v>
      </c>
    </row>
    <row r="149" spans="1:8">
      <c r="A149" s="4" t="s">
        <v>24</v>
      </c>
      <c r="B149" s="4" t="s">
        <v>61</v>
      </c>
      <c r="C149" s="4">
        <v>26.04</v>
      </c>
      <c r="D149" s="4">
        <v>27.326000000000001</v>
      </c>
      <c r="E149" s="4">
        <v>30.192</v>
      </c>
      <c r="F149" s="4">
        <v>32.997999999999998</v>
      </c>
      <c r="G149" s="4">
        <v>46.716999999999999</v>
      </c>
      <c r="H149" s="4">
        <v>47.938000000000002</v>
      </c>
    </row>
    <row r="150" spans="1:8">
      <c r="A150" s="4" t="s">
        <v>25</v>
      </c>
      <c r="B150" s="4" t="s">
        <v>61</v>
      </c>
      <c r="C150" s="4">
        <v>349.68099999999998</v>
      </c>
      <c r="D150" s="4">
        <v>368.14</v>
      </c>
      <c r="E150" s="4">
        <v>418.40300000000002</v>
      </c>
      <c r="F150" s="4">
        <v>434.44600000000003</v>
      </c>
      <c r="G150" s="4">
        <v>559.90899999999999</v>
      </c>
      <c r="H150" s="4">
        <v>479.51</v>
      </c>
    </row>
    <row r="151" spans="1:8">
      <c r="A151" s="4" t="s">
        <v>27</v>
      </c>
      <c r="B151" s="4" t="s">
        <v>61</v>
      </c>
      <c r="C151" s="4">
        <v>179.148</v>
      </c>
      <c r="D151" s="4">
        <v>241.947</v>
      </c>
      <c r="E151" s="4">
        <v>196.46199999999999</v>
      </c>
      <c r="F151" s="4">
        <v>147.65700000000001</v>
      </c>
      <c r="G151" s="4">
        <v>144.81</v>
      </c>
      <c r="H151" s="4">
        <v>140.024</v>
      </c>
    </row>
    <row r="152" spans="1:8">
      <c r="A152" s="4" t="s">
        <v>26</v>
      </c>
      <c r="B152" s="4" t="s">
        <v>61</v>
      </c>
      <c r="C152" s="4">
        <v>25.945</v>
      </c>
      <c r="D152" s="4">
        <v>40.595999999999997</v>
      </c>
      <c r="E152" s="4">
        <v>47.040000000000013</v>
      </c>
      <c r="F152" s="4">
        <v>52.161999999999999</v>
      </c>
      <c r="G152" s="4">
        <v>53.664999999999999</v>
      </c>
      <c r="H152" s="4">
        <v>55.811</v>
      </c>
    </row>
    <row r="153" spans="1:8">
      <c r="A153" s="4" t="s">
        <v>4</v>
      </c>
      <c r="B153" s="4" t="s">
        <v>61</v>
      </c>
      <c r="C153" s="4">
        <v>32.414000000000001</v>
      </c>
      <c r="D153" s="4">
        <v>49.719000000000001</v>
      </c>
      <c r="E153" s="4">
        <v>37.508000000000003</v>
      </c>
      <c r="F153" s="4">
        <v>19.981000000000002</v>
      </c>
      <c r="G153" s="4">
        <v>19.420999999999999</v>
      </c>
      <c r="H153" s="4">
        <v>17.318999999999999</v>
      </c>
    </row>
    <row r="154" spans="1:8">
      <c r="A154" s="4" t="s">
        <v>46</v>
      </c>
      <c r="B154" s="4" t="s">
        <v>61</v>
      </c>
      <c r="C154" s="4">
        <v>159.62299999999999</v>
      </c>
      <c r="D154" s="4">
        <v>83.414000000000001</v>
      </c>
      <c r="E154" s="4">
        <v>145.45099999999999</v>
      </c>
      <c r="F154" s="4">
        <v>105.065</v>
      </c>
      <c r="G154" s="4">
        <v>0</v>
      </c>
      <c r="H154" s="4">
        <v>0</v>
      </c>
    </row>
    <row r="155" spans="1:8">
      <c r="A155" s="4" t="s">
        <v>29</v>
      </c>
      <c r="B155" s="4" t="s">
        <v>61</v>
      </c>
      <c r="C155" s="4">
        <v>397.81599999999997</v>
      </c>
      <c r="D155" s="4">
        <v>415.71899999999999</v>
      </c>
      <c r="E155" s="4">
        <v>428.18900000000002</v>
      </c>
      <c r="F155" s="4">
        <v>325.20499999999998</v>
      </c>
      <c r="G155" s="4">
        <v>226.09700000000001</v>
      </c>
      <c r="H155" s="4">
        <v>217.13200000000001</v>
      </c>
    </row>
    <row r="156" spans="1:8">
      <c r="A156" s="4" t="s">
        <v>50</v>
      </c>
      <c r="B156" s="4" t="s">
        <v>61</v>
      </c>
      <c r="C156" s="4">
        <v>37.656999999999996</v>
      </c>
      <c r="D156" s="4">
        <v>76.858999999999995</v>
      </c>
      <c r="E156" s="4">
        <v>58.31</v>
      </c>
      <c r="F156" s="4">
        <v>45.478999999999999</v>
      </c>
      <c r="G156" s="4">
        <v>54.826000000000001</v>
      </c>
      <c r="H156" s="4">
        <v>50.963999999999999</v>
      </c>
    </row>
    <row r="157" spans="1:8">
      <c r="A157" s="4" t="s">
        <v>31</v>
      </c>
      <c r="B157" s="4" t="s">
        <v>61</v>
      </c>
      <c r="C157" s="4">
        <v>59.886000000000003</v>
      </c>
      <c r="D157" s="4">
        <v>83.171999999999997</v>
      </c>
      <c r="E157" s="4">
        <v>85.861000000000004</v>
      </c>
      <c r="F157" s="4">
        <v>90.043999999999997</v>
      </c>
      <c r="G157" s="4">
        <v>115.898</v>
      </c>
      <c r="H157" s="4">
        <v>100.176</v>
      </c>
    </row>
    <row r="158" spans="1:8">
      <c r="A158" s="4" t="s">
        <v>33</v>
      </c>
      <c r="B158" s="4" t="s">
        <v>61</v>
      </c>
      <c r="C158" s="4">
        <v>189.15299999999999</v>
      </c>
      <c r="D158" s="4">
        <v>179.29400000000001</v>
      </c>
      <c r="E158" s="4">
        <v>223.65899999999999</v>
      </c>
      <c r="F158" s="4">
        <v>255.18299999999999</v>
      </c>
      <c r="G158" s="4">
        <v>324.48399999999998</v>
      </c>
      <c r="H158" s="4">
        <v>268.392</v>
      </c>
    </row>
    <row r="159" spans="1:8">
      <c r="A159" s="4" t="s">
        <v>36</v>
      </c>
      <c r="B159" s="4" t="s">
        <v>61</v>
      </c>
      <c r="C159" s="4">
        <v>217.05699999999999</v>
      </c>
      <c r="D159" s="4">
        <v>290.29000000000002</v>
      </c>
      <c r="E159" s="4">
        <v>288.065</v>
      </c>
      <c r="F159" s="4">
        <v>293.72800000000001</v>
      </c>
      <c r="G159" s="4">
        <v>319.20800000000003</v>
      </c>
      <c r="H159" s="4">
        <v>265.49</v>
      </c>
    </row>
    <row r="160" spans="1:8">
      <c r="A160" s="4" t="s">
        <v>38</v>
      </c>
      <c r="B160" s="4" t="s">
        <v>61</v>
      </c>
      <c r="C160" s="4">
        <v>115.839</v>
      </c>
      <c r="D160" s="4">
        <v>113.372</v>
      </c>
      <c r="E160" s="4">
        <v>149.02500000000001</v>
      </c>
      <c r="F160" s="4">
        <v>168.51599999999999</v>
      </c>
      <c r="G160" s="4">
        <v>233.93299999999999</v>
      </c>
      <c r="H160" s="4">
        <v>196.595</v>
      </c>
    </row>
    <row r="161" spans="1:8">
      <c r="A161" s="4" t="s">
        <v>58</v>
      </c>
      <c r="B161" s="4" t="s">
        <v>61</v>
      </c>
      <c r="C161" s="4">
        <v>414.601</v>
      </c>
      <c r="D161" s="4">
        <v>380.197</v>
      </c>
      <c r="E161" s="4">
        <v>409.50200000000001</v>
      </c>
      <c r="F161" s="4">
        <v>297.40699999999998</v>
      </c>
      <c r="G161" s="4">
        <v>232.86500000000001</v>
      </c>
      <c r="H161" s="4">
        <v>234.56299999999999</v>
      </c>
    </row>
    <row r="162" spans="1:8">
      <c r="A162" s="4" t="s">
        <v>40</v>
      </c>
      <c r="B162" s="4" t="s">
        <v>61</v>
      </c>
      <c r="C162" s="4">
        <v>414.601</v>
      </c>
      <c r="D162" s="4">
        <v>380.197</v>
      </c>
      <c r="E162" s="4">
        <v>409.50200000000001</v>
      </c>
      <c r="F162" s="4">
        <v>297.40699999999998</v>
      </c>
      <c r="G162" s="4">
        <v>232.86500000000001</v>
      </c>
      <c r="H162" s="4">
        <v>234.55699999999999</v>
      </c>
    </row>
    <row r="163" spans="1:8">
      <c r="A163" s="4" t="s">
        <v>41</v>
      </c>
      <c r="B163" s="4" t="s">
        <v>61</v>
      </c>
      <c r="C163" s="4">
        <v>0</v>
      </c>
      <c r="D163" s="4">
        <v>124.48</v>
      </c>
      <c r="E163" s="4">
        <v>48.4</v>
      </c>
      <c r="F163" s="4">
        <v>200.16</v>
      </c>
      <c r="G163" s="4">
        <v>32.479999999999997</v>
      </c>
      <c r="H163" s="4">
        <v>0</v>
      </c>
    </row>
    <row r="164" spans="1:8">
      <c r="A164" s="4" t="s">
        <v>44</v>
      </c>
      <c r="B164" s="4" t="s">
        <v>61</v>
      </c>
      <c r="C164" s="4">
        <v>3.3570000000000002</v>
      </c>
      <c r="D164" s="4">
        <v>1.7190000000000001</v>
      </c>
      <c r="E164" s="4">
        <v>3.222</v>
      </c>
      <c r="F164" s="4">
        <v>2.6859999999999999</v>
      </c>
      <c r="G164" s="4">
        <v>3.5030000000000001</v>
      </c>
      <c r="H164" s="4">
        <v>2.8879999999999999</v>
      </c>
    </row>
    <row r="165" spans="1:8">
      <c r="A165" s="4" t="s">
        <v>48</v>
      </c>
      <c r="B165" s="4" t="s">
        <v>61</v>
      </c>
      <c r="C165" s="4">
        <v>179.148</v>
      </c>
      <c r="D165" s="4">
        <v>241.947</v>
      </c>
      <c r="E165" s="4">
        <v>196.46199999999999</v>
      </c>
      <c r="F165" s="4">
        <v>147.65700000000001</v>
      </c>
      <c r="G165" s="4">
        <v>144.81</v>
      </c>
      <c r="H165" s="4">
        <v>140.024</v>
      </c>
    </row>
    <row r="166" spans="1:8">
      <c r="A166" s="4" t="s">
        <v>51</v>
      </c>
      <c r="B166" s="4" t="s">
        <v>61</v>
      </c>
      <c r="C166" s="4">
        <v>0.63200000000000001</v>
      </c>
      <c r="D166" s="4">
        <v>0.63200000000000001</v>
      </c>
      <c r="E166" s="4">
        <v>0.63200000000000001</v>
      </c>
      <c r="F166" s="4">
        <v>0.63200000000000001</v>
      </c>
      <c r="G166" s="4">
        <v>0.63200000000000001</v>
      </c>
      <c r="H166" s="4">
        <v>0.63200000000000001</v>
      </c>
    </row>
    <row r="167" spans="1:8">
      <c r="A167" s="4" t="s">
        <v>1</v>
      </c>
      <c r="B167" s="4" t="s">
        <v>61</v>
      </c>
      <c r="C167" s="4">
        <v>0</v>
      </c>
      <c r="D167" s="4">
        <v>0</v>
      </c>
      <c r="E167" s="4">
        <v>0</v>
      </c>
      <c r="F167" s="4">
        <v>0</v>
      </c>
      <c r="G167" s="4">
        <v>0</v>
      </c>
      <c r="H167" s="4">
        <v>0</v>
      </c>
    </row>
    <row r="168" spans="1:8">
      <c r="A168" s="4" t="s">
        <v>2</v>
      </c>
      <c r="B168" s="4" t="s">
        <v>61</v>
      </c>
      <c r="C168" s="4">
        <v>0</v>
      </c>
      <c r="D168" s="4">
        <v>0</v>
      </c>
      <c r="E168" s="4">
        <v>0</v>
      </c>
      <c r="F168" s="4">
        <v>0</v>
      </c>
      <c r="G168" s="4">
        <v>0</v>
      </c>
      <c r="H168" s="4">
        <v>0</v>
      </c>
    </row>
    <row r="169" spans="1:8">
      <c r="A169" s="4" t="s">
        <v>3</v>
      </c>
      <c r="B169" s="4" t="s">
        <v>61</v>
      </c>
      <c r="C169" s="4">
        <v>148.833</v>
      </c>
      <c r="D169" s="4">
        <v>107.901</v>
      </c>
      <c r="E169" s="4">
        <v>92.715999999999994</v>
      </c>
      <c r="F169" s="4">
        <v>115.188</v>
      </c>
      <c r="G169" s="4">
        <v>51.689000000000007</v>
      </c>
      <c r="H169" s="4">
        <v>17.956</v>
      </c>
    </row>
    <row r="170" spans="1:8">
      <c r="A170" s="4" t="s">
        <v>42</v>
      </c>
      <c r="B170" s="4" t="s">
        <v>61</v>
      </c>
      <c r="C170" s="4">
        <v>0</v>
      </c>
      <c r="D170" s="4">
        <v>0</v>
      </c>
      <c r="E170" s="4">
        <v>0</v>
      </c>
      <c r="F170" s="4">
        <v>0</v>
      </c>
      <c r="G170" s="4">
        <v>0</v>
      </c>
      <c r="H170" s="4">
        <v>0</v>
      </c>
    </row>
    <row r="171" spans="1:8">
      <c r="A171" s="4" t="s">
        <v>8</v>
      </c>
      <c r="B171" s="4" t="s">
        <v>61</v>
      </c>
      <c r="C171" s="4">
        <v>0</v>
      </c>
      <c r="D171" s="4">
        <v>0</v>
      </c>
      <c r="E171" s="4">
        <v>0</v>
      </c>
      <c r="F171" s="4">
        <v>0</v>
      </c>
      <c r="G171" s="4">
        <v>0</v>
      </c>
      <c r="H171" s="4">
        <v>0</v>
      </c>
    </row>
    <row r="172" spans="1:8">
      <c r="A172" s="4" t="s">
        <v>6</v>
      </c>
      <c r="B172" s="4" t="s">
        <v>61</v>
      </c>
      <c r="C172" s="4">
        <v>0</v>
      </c>
      <c r="D172" s="4">
        <v>0</v>
      </c>
      <c r="E172" s="4">
        <v>0</v>
      </c>
      <c r="F172" s="4">
        <v>0</v>
      </c>
      <c r="G172" s="4">
        <v>0</v>
      </c>
      <c r="H172" s="4">
        <v>0</v>
      </c>
    </row>
    <row r="173" spans="1:8">
      <c r="A173" s="4" t="s">
        <v>0</v>
      </c>
      <c r="B173" s="4" t="s">
        <v>62</v>
      </c>
      <c r="C173" s="4">
        <v>2797.9229999999998</v>
      </c>
      <c r="D173" s="4">
        <v>3173.027</v>
      </c>
      <c r="E173" s="4">
        <v>2675.1660000000002</v>
      </c>
      <c r="F173" s="4">
        <v>3211.9929999999999</v>
      </c>
      <c r="G173" s="4">
        <v>3291.9540000000002</v>
      </c>
      <c r="H173" s="4">
        <v>3538.4949999999999</v>
      </c>
    </row>
    <row r="174" spans="1:8">
      <c r="A174" s="4" t="s">
        <v>1</v>
      </c>
      <c r="B174" s="4" t="s">
        <v>62</v>
      </c>
      <c r="C174" s="4">
        <v>821.64800000000002</v>
      </c>
      <c r="D174" s="4">
        <v>878.279</v>
      </c>
      <c r="E174" s="4">
        <v>732.81700000000001</v>
      </c>
      <c r="F174" s="4">
        <v>842.63699999999994</v>
      </c>
      <c r="G174" s="4">
        <v>858.423</v>
      </c>
      <c r="H174" s="4">
        <v>935.93899999999996</v>
      </c>
    </row>
    <row r="175" spans="1:8">
      <c r="A175" s="4" t="s">
        <v>2</v>
      </c>
      <c r="B175" s="4" t="s">
        <v>62</v>
      </c>
      <c r="C175" s="4">
        <v>1976.2750000000001</v>
      </c>
      <c r="D175" s="4">
        <v>2294.748</v>
      </c>
      <c r="E175" s="4">
        <v>1942.3489999999999</v>
      </c>
      <c r="F175" s="4">
        <v>2369.3560000000002</v>
      </c>
      <c r="G175" s="4">
        <v>2433.5309999999999</v>
      </c>
      <c r="H175" s="4">
        <v>2602.556</v>
      </c>
    </row>
    <row r="176" spans="1:8">
      <c r="A176" s="4" t="s">
        <v>5</v>
      </c>
      <c r="B176" s="4" t="s">
        <v>62</v>
      </c>
      <c r="C176" s="4">
        <v>564.43299999999999</v>
      </c>
      <c r="D176" s="4">
        <v>574.57799999999997</v>
      </c>
      <c r="E176" s="4">
        <v>530.92000000000007</v>
      </c>
      <c r="F176" s="4">
        <v>533.255</v>
      </c>
      <c r="G176" s="4">
        <v>552.77600000000007</v>
      </c>
      <c r="H176" s="4">
        <v>525.37199999999996</v>
      </c>
    </row>
    <row r="177" spans="1:8">
      <c r="A177" s="4" t="s">
        <v>16</v>
      </c>
      <c r="B177" s="4" t="s">
        <v>62</v>
      </c>
      <c r="C177" s="4">
        <v>46.67</v>
      </c>
      <c r="D177" s="4">
        <v>34.854999999999997</v>
      </c>
      <c r="E177" s="4">
        <v>29.443999999999999</v>
      </c>
      <c r="F177" s="4">
        <v>30.018999999999998</v>
      </c>
      <c r="G177" s="4">
        <v>37.433999999999997</v>
      </c>
      <c r="H177" s="4">
        <v>40.369999999999997</v>
      </c>
    </row>
    <row r="178" spans="1:8">
      <c r="A178" s="4" t="s">
        <v>18</v>
      </c>
      <c r="B178" s="4" t="s">
        <v>62</v>
      </c>
      <c r="C178" s="4">
        <v>121.301</v>
      </c>
      <c r="D178" s="4">
        <v>128.304</v>
      </c>
      <c r="E178" s="4">
        <v>43.46</v>
      </c>
      <c r="F178" s="4">
        <v>115.958</v>
      </c>
      <c r="G178" s="4">
        <v>78.183000000000007</v>
      </c>
      <c r="H178" s="4">
        <v>139.934</v>
      </c>
    </row>
    <row r="179" spans="1:8">
      <c r="A179" s="4" t="s">
        <v>20</v>
      </c>
      <c r="B179" s="4" t="s">
        <v>62</v>
      </c>
      <c r="C179" s="4">
        <v>3.539000000000001</v>
      </c>
      <c r="D179" s="4">
        <v>32.948999999999998</v>
      </c>
      <c r="E179" s="4">
        <v>0.38600000000000279</v>
      </c>
      <c r="F179" s="4">
        <v>22.108000000000001</v>
      </c>
      <c r="G179" s="4">
        <v>15.492000000000001</v>
      </c>
      <c r="H179" s="4">
        <v>31.832999999999998</v>
      </c>
    </row>
    <row r="180" spans="1:8">
      <c r="A180" s="4" t="s">
        <v>57</v>
      </c>
      <c r="B180" s="4" t="s">
        <v>62</v>
      </c>
      <c r="C180" s="4">
        <v>118.959</v>
      </c>
      <c r="D180" s="4">
        <v>99.715999999999994</v>
      </c>
      <c r="E180" s="4">
        <v>43.152999999999999</v>
      </c>
      <c r="F180" s="4">
        <v>93.835999999999999</v>
      </c>
      <c r="G180" s="4">
        <v>62.749000000000002</v>
      </c>
      <c r="H180" s="4">
        <v>108.101</v>
      </c>
    </row>
    <row r="181" spans="1:8">
      <c r="A181" s="4" t="s">
        <v>21</v>
      </c>
      <c r="B181" s="4" t="s">
        <v>62</v>
      </c>
      <c r="C181" s="4">
        <v>117.762</v>
      </c>
      <c r="D181" s="4">
        <v>95.355000000000004</v>
      </c>
      <c r="E181" s="4">
        <v>43.073999999999998</v>
      </c>
      <c r="F181" s="4">
        <v>93.85</v>
      </c>
      <c r="G181" s="4">
        <v>62.691000000000003</v>
      </c>
      <c r="H181" s="4">
        <v>108.101</v>
      </c>
    </row>
    <row r="182" spans="1:8">
      <c r="A182" s="4" t="s">
        <v>23</v>
      </c>
      <c r="B182" s="4" t="s">
        <v>62</v>
      </c>
      <c r="C182" s="4">
        <v>556.92100000000005</v>
      </c>
      <c r="D182" s="4">
        <v>503.27</v>
      </c>
      <c r="E182" s="4">
        <v>456.49099999999999</v>
      </c>
      <c r="F182" s="4">
        <v>443.14499999999998</v>
      </c>
      <c r="G182" s="4">
        <v>415.07799999999997</v>
      </c>
      <c r="H182" s="4">
        <v>378.12</v>
      </c>
    </row>
    <row r="183" spans="1:8">
      <c r="A183" s="4" t="s">
        <v>24</v>
      </c>
      <c r="B183" s="4" t="s">
        <v>62</v>
      </c>
      <c r="C183" s="4">
        <v>26.311</v>
      </c>
      <c r="D183" s="4">
        <v>30.56</v>
      </c>
      <c r="E183" s="4">
        <v>35.305</v>
      </c>
      <c r="F183" s="4">
        <v>30.065000000000001</v>
      </c>
      <c r="G183" s="4">
        <v>38.819000000000003</v>
      </c>
      <c r="H183" s="4">
        <v>47.665999999999997</v>
      </c>
    </row>
    <row r="184" spans="1:8">
      <c r="A184" s="4" t="s">
        <v>26</v>
      </c>
      <c r="B184" s="4" t="s">
        <v>62</v>
      </c>
      <c r="C184" s="4">
        <v>271.95999999999998</v>
      </c>
      <c r="D184" s="4">
        <v>293.12900000000002</v>
      </c>
      <c r="E184" s="4">
        <v>279.73200000000003</v>
      </c>
      <c r="F184" s="4">
        <v>268.447</v>
      </c>
      <c r="G184" s="4">
        <v>238.70500000000001</v>
      </c>
      <c r="H184" s="4">
        <v>242.89599999999999</v>
      </c>
    </row>
    <row r="185" spans="1:8">
      <c r="A185" s="4" t="s">
        <v>25</v>
      </c>
      <c r="B185" s="4" t="s">
        <v>62</v>
      </c>
      <c r="C185" s="4">
        <v>2400.7460000000001</v>
      </c>
      <c r="D185" s="4">
        <v>2002.9749999999999</v>
      </c>
      <c r="E185" s="4">
        <v>1960.953</v>
      </c>
      <c r="F185" s="4">
        <v>2015.454</v>
      </c>
      <c r="G185" s="4">
        <v>1939.0809999999999</v>
      </c>
      <c r="H185" s="4">
        <v>1828.1179999999999</v>
      </c>
    </row>
    <row r="186" spans="1:8">
      <c r="A186" s="4" t="s">
        <v>27</v>
      </c>
      <c r="B186" s="4" t="s">
        <v>62</v>
      </c>
      <c r="C186" s="4">
        <v>562.08100000000002</v>
      </c>
      <c r="D186" s="4">
        <v>452.60700000000003</v>
      </c>
      <c r="E186" s="4">
        <v>282.58999999999997</v>
      </c>
      <c r="F186" s="4">
        <v>328.14699999999999</v>
      </c>
      <c r="G186" s="4">
        <v>330.75799999999998</v>
      </c>
      <c r="H186" s="4">
        <v>380.44200000000001</v>
      </c>
    </row>
    <row r="187" spans="1:8">
      <c r="A187" s="4" t="s">
        <v>42</v>
      </c>
      <c r="B187" s="4" t="s">
        <v>62</v>
      </c>
      <c r="C187" s="4">
        <v>24.331</v>
      </c>
      <c r="D187" s="4">
        <v>28.087</v>
      </c>
      <c r="E187" s="4">
        <v>27.66</v>
      </c>
      <c r="F187" s="4">
        <v>38.246000000000002</v>
      </c>
      <c r="G187" s="4">
        <v>28.202999999999999</v>
      </c>
      <c r="H187" s="4">
        <v>26.742999999999999</v>
      </c>
    </row>
    <row r="188" spans="1:8">
      <c r="A188" s="4" t="s">
        <v>4</v>
      </c>
      <c r="B188" s="4" t="s">
        <v>62</v>
      </c>
      <c r="C188" s="4">
        <v>78.8</v>
      </c>
      <c r="D188" s="4">
        <v>96.853999999999999</v>
      </c>
      <c r="E188" s="4">
        <v>89.236999999999995</v>
      </c>
      <c r="F188" s="4">
        <v>87.04</v>
      </c>
      <c r="G188" s="4">
        <v>79.858999999999995</v>
      </c>
      <c r="H188" s="4">
        <v>90.242999999999995</v>
      </c>
    </row>
    <row r="189" spans="1:8">
      <c r="A189" s="4" t="s">
        <v>29</v>
      </c>
      <c r="B189" s="4" t="s">
        <v>62</v>
      </c>
      <c r="C189" s="4">
        <v>813.88099999999997</v>
      </c>
      <c r="D189" s="4">
        <v>735.81200000000001</v>
      </c>
      <c r="E189" s="4">
        <v>551.70399999999995</v>
      </c>
      <c r="F189" s="4">
        <v>566.16999999999996</v>
      </c>
      <c r="G189" s="4">
        <v>532.06399999999996</v>
      </c>
      <c r="H189" s="4">
        <v>604.60699999999997</v>
      </c>
    </row>
    <row r="190" spans="1:8">
      <c r="A190" s="4" t="s">
        <v>50</v>
      </c>
      <c r="B190" s="4" t="s">
        <v>62</v>
      </c>
      <c r="C190" s="4">
        <v>91.935000000000002</v>
      </c>
      <c r="D190" s="4">
        <v>106.376</v>
      </c>
      <c r="E190" s="4">
        <v>99.138000000000005</v>
      </c>
      <c r="F190" s="4">
        <v>83.106999999999999</v>
      </c>
      <c r="G190" s="4">
        <v>85.269000000000005</v>
      </c>
      <c r="H190" s="4">
        <v>91.954999999999998</v>
      </c>
    </row>
    <row r="191" spans="1:8">
      <c r="A191" s="4" t="s">
        <v>8</v>
      </c>
      <c r="B191" s="4" t="s">
        <v>62</v>
      </c>
      <c r="C191" s="4">
        <v>78.775000000000006</v>
      </c>
      <c r="D191" s="4">
        <v>0</v>
      </c>
      <c r="E191" s="4">
        <v>0</v>
      </c>
      <c r="F191" s="4">
        <v>0</v>
      </c>
      <c r="G191" s="4">
        <v>0</v>
      </c>
      <c r="H191" s="4">
        <v>0</v>
      </c>
    </row>
    <row r="192" spans="1:8">
      <c r="A192" s="4" t="s">
        <v>31</v>
      </c>
      <c r="B192" s="4" t="s">
        <v>62</v>
      </c>
      <c r="C192" s="4">
        <v>282.38499999999999</v>
      </c>
      <c r="D192" s="4">
        <v>271.18099999999998</v>
      </c>
      <c r="E192" s="4">
        <v>271.00400000000002</v>
      </c>
      <c r="F192" s="4">
        <v>292.24200000000002</v>
      </c>
      <c r="G192" s="4">
        <v>272.262</v>
      </c>
      <c r="H192" s="4">
        <v>282.14499999999998</v>
      </c>
    </row>
    <row r="193" spans="1:8">
      <c r="A193" s="4" t="s">
        <v>33</v>
      </c>
      <c r="B193" s="4" t="s">
        <v>62</v>
      </c>
      <c r="C193" s="4">
        <v>1584.2919999999999</v>
      </c>
      <c r="D193" s="4">
        <v>1156.0519999999999</v>
      </c>
      <c r="E193" s="4">
        <v>1108.422</v>
      </c>
      <c r="F193" s="4">
        <v>1136.8489999999999</v>
      </c>
      <c r="G193" s="4">
        <v>1103.808</v>
      </c>
      <c r="H193" s="4">
        <v>1047.7909999999999</v>
      </c>
    </row>
    <row r="194" spans="1:8">
      <c r="A194" s="4" t="s">
        <v>36</v>
      </c>
      <c r="B194" s="4" t="s">
        <v>62</v>
      </c>
      <c r="C194" s="4">
        <v>1009.336</v>
      </c>
      <c r="D194" s="4">
        <v>852.49699999999996</v>
      </c>
      <c r="E194" s="4">
        <v>774.72</v>
      </c>
      <c r="F194" s="4">
        <v>800.34400000000005</v>
      </c>
      <c r="G194" s="4">
        <v>756.55200000000002</v>
      </c>
      <c r="H194" s="4">
        <v>804.89400000000001</v>
      </c>
    </row>
    <row r="195" spans="1:8">
      <c r="A195" s="4" t="s">
        <v>38</v>
      </c>
      <c r="B195" s="4" t="s">
        <v>62</v>
      </c>
      <c r="C195" s="4">
        <v>1122.279</v>
      </c>
      <c r="D195" s="4">
        <v>791.11199999999997</v>
      </c>
      <c r="E195" s="4">
        <v>782.77099999999996</v>
      </c>
      <c r="F195" s="4">
        <v>796.72799999999995</v>
      </c>
      <c r="G195" s="4">
        <v>778.97400000000005</v>
      </c>
      <c r="H195" s="4">
        <v>730.12599999999998</v>
      </c>
    </row>
    <row r="196" spans="1:8">
      <c r="A196" s="4" t="s">
        <v>58</v>
      </c>
      <c r="B196" s="4" t="s">
        <v>62</v>
      </c>
      <c r="C196" s="4">
        <v>1077.46</v>
      </c>
      <c r="D196" s="4">
        <v>1093.5340000000001</v>
      </c>
      <c r="E196" s="4">
        <v>953.93399999999997</v>
      </c>
      <c r="F196" s="4">
        <v>983.33600000000001</v>
      </c>
      <c r="G196" s="4">
        <v>935.61900000000003</v>
      </c>
      <c r="H196" s="4">
        <v>897.70500000000004</v>
      </c>
    </row>
    <row r="197" spans="1:8">
      <c r="A197" s="4" t="s">
        <v>40</v>
      </c>
      <c r="B197" s="4" t="s">
        <v>62</v>
      </c>
      <c r="C197" s="4">
        <v>1083.0119999999999</v>
      </c>
      <c r="D197" s="4">
        <v>1095.1780000000001</v>
      </c>
      <c r="E197" s="4">
        <v>955.16600000000005</v>
      </c>
      <c r="F197" s="4">
        <v>984.55200000000002</v>
      </c>
      <c r="G197" s="4">
        <v>935.61900000000003</v>
      </c>
      <c r="H197" s="4">
        <v>897.70500000000004</v>
      </c>
    </row>
    <row r="198" spans="1:8">
      <c r="A198" s="4" t="s">
        <v>41</v>
      </c>
      <c r="B198" s="4" t="s">
        <v>62</v>
      </c>
      <c r="C198" s="4">
        <v>31.308</v>
      </c>
      <c r="D198" s="4">
        <v>89.41</v>
      </c>
      <c r="E198" s="4">
        <v>74.813000000000002</v>
      </c>
      <c r="F198" s="4">
        <v>59.319000000000003</v>
      </c>
      <c r="G198" s="4">
        <v>95.513000000000005</v>
      </c>
      <c r="H198" s="4">
        <v>131.142</v>
      </c>
    </row>
    <row r="199" spans="1:8">
      <c r="A199" s="4" t="s">
        <v>44</v>
      </c>
      <c r="B199" s="4" t="s">
        <v>62</v>
      </c>
      <c r="C199" s="4">
        <v>195.13</v>
      </c>
      <c r="D199" s="4">
        <v>207.751</v>
      </c>
      <c r="E199" s="4">
        <v>209.36699999999999</v>
      </c>
      <c r="F199" s="4">
        <v>218.405</v>
      </c>
      <c r="G199" s="4">
        <v>208.54499999999999</v>
      </c>
      <c r="H199" s="4">
        <v>203.001</v>
      </c>
    </row>
    <row r="200" spans="1:8">
      <c r="A200" s="4" t="s">
        <v>48</v>
      </c>
      <c r="B200" s="4" t="s">
        <v>62</v>
      </c>
      <c r="C200" s="4">
        <v>179.01499999999999</v>
      </c>
      <c r="D200" s="4">
        <v>298.72899999999998</v>
      </c>
      <c r="E200" s="4">
        <v>162.464</v>
      </c>
      <c r="F200" s="4">
        <v>176.14699999999999</v>
      </c>
      <c r="G200" s="4">
        <v>175.72399999999999</v>
      </c>
      <c r="H200" s="4">
        <v>170.38900000000001</v>
      </c>
    </row>
    <row r="201" spans="1:8">
      <c r="A201" s="4" t="s">
        <v>51</v>
      </c>
      <c r="B201" s="4" t="s">
        <v>62</v>
      </c>
      <c r="C201" s="4">
        <v>231.23</v>
      </c>
      <c r="D201" s="4">
        <v>216.91800000000001</v>
      </c>
      <c r="E201" s="4">
        <v>225.08799999999999</v>
      </c>
      <c r="F201" s="4">
        <v>242.238</v>
      </c>
      <c r="G201" s="4">
        <v>220.822</v>
      </c>
      <c r="H201" s="4">
        <v>225.34</v>
      </c>
    </row>
    <row r="202" spans="1:8">
      <c r="A202" s="4" t="s">
        <v>3</v>
      </c>
      <c r="B202" s="4" t="s">
        <v>62</v>
      </c>
      <c r="C202" s="4">
        <v>167.971</v>
      </c>
      <c r="D202" s="4">
        <v>163.15899999999999</v>
      </c>
      <c r="E202" s="4">
        <v>72.903999999999996</v>
      </c>
      <c r="F202" s="4">
        <v>145.977</v>
      </c>
      <c r="G202" s="4">
        <v>115.617</v>
      </c>
      <c r="H202" s="4">
        <v>180.304</v>
      </c>
    </row>
    <row r="203" spans="1:8">
      <c r="A203" s="4" t="s">
        <v>46</v>
      </c>
      <c r="B203" s="4" t="s">
        <v>62</v>
      </c>
      <c r="C203" s="4">
        <v>0</v>
      </c>
      <c r="D203" s="4">
        <v>0</v>
      </c>
      <c r="E203" s="4">
        <v>0</v>
      </c>
      <c r="F203" s="4">
        <v>0</v>
      </c>
      <c r="G203" s="4">
        <v>0</v>
      </c>
      <c r="H203" s="4">
        <v>0</v>
      </c>
    </row>
    <row r="204" spans="1:8">
      <c r="A204" s="4" t="s">
        <v>6</v>
      </c>
      <c r="B204" s="4" t="s">
        <v>62</v>
      </c>
      <c r="C204" s="4">
        <v>0</v>
      </c>
      <c r="D204" s="4">
        <v>0</v>
      </c>
      <c r="E204" s="4">
        <v>0</v>
      </c>
      <c r="F204" s="4">
        <v>0</v>
      </c>
      <c r="G204" s="4">
        <v>0</v>
      </c>
      <c r="H204" s="4">
        <v>0</v>
      </c>
    </row>
    <row r="205" spans="1:8" ht="14.5">
      <c r="A205" s="105" t="s">
        <v>219</v>
      </c>
    </row>
  </sheetData>
  <mergeCells count="19">
    <mergeCell ref="C2:G2"/>
    <mergeCell ref="H2:L2"/>
    <mergeCell ref="M2:Q2"/>
    <mergeCell ref="C10:G10"/>
    <mergeCell ref="H10:L10"/>
    <mergeCell ref="M10:Q10"/>
    <mergeCell ref="C34:G34"/>
    <mergeCell ref="H34:L34"/>
    <mergeCell ref="M34:Q34"/>
    <mergeCell ref="AB18:AF18"/>
    <mergeCell ref="AG18:AK18"/>
    <mergeCell ref="C26:G26"/>
    <mergeCell ref="H26:L26"/>
    <mergeCell ref="M26:Q26"/>
    <mergeCell ref="C18:G18"/>
    <mergeCell ref="H18:L18"/>
    <mergeCell ref="M18:Q18"/>
    <mergeCell ref="R18:V18"/>
    <mergeCell ref="W18:AA18"/>
  </mergeCell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85E4-E66E-440D-8A54-FC4C6A2801C5}">
  <dimension ref="A1:P75"/>
  <sheetViews>
    <sheetView zoomScale="140" zoomScaleNormal="140" workbookViewId="0">
      <selection activeCell="K79" sqref="K79"/>
    </sheetView>
  </sheetViews>
  <sheetFormatPr defaultRowHeight="14"/>
  <cols>
    <col min="1" max="1" width="30.1796875" style="21" customWidth="1"/>
    <col min="2" max="2" width="14.1796875" style="4" customWidth="1"/>
    <col min="3" max="3" width="13.6328125" style="4" customWidth="1"/>
    <col min="4" max="6" width="9.7265625" style="4" customWidth="1"/>
    <col min="7" max="7" width="13.453125" style="4" bestFit="1" customWidth="1"/>
    <col min="8" max="8" width="9.7265625" style="4" customWidth="1"/>
    <col min="9" max="9" width="9.54296875" style="4" bestFit="1" customWidth="1"/>
    <col min="10" max="10" width="3.7265625" style="4" customWidth="1"/>
    <col min="11" max="11" width="10" style="4" customWidth="1"/>
    <col min="12" max="12" width="8.7265625" style="4"/>
    <col min="13" max="16" width="9.54296875" style="4" bestFit="1" customWidth="1"/>
    <col min="17" max="16384" width="8.7265625" style="4"/>
  </cols>
  <sheetData>
    <row r="1" spans="1:9" ht="17.5">
      <c r="A1" s="3" t="s">
        <v>105</v>
      </c>
      <c r="B1" s="67" t="s">
        <v>84</v>
      </c>
      <c r="C1" s="67" t="s">
        <v>85</v>
      </c>
      <c r="D1" s="67" t="s">
        <v>86</v>
      </c>
      <c r="E1" s="67" t="s">
        <v>87</v>
      </c>
      <c r="F1" s="67" t="s">
        <v>88</v>
      </c>
      <c r="G1" s="67" t="s">
        <v>102</v>
      </c>
    </row>
    <row r="2" spans="1:9">
      <c r="A2" s="21" t="s">
        <v>104</v>
      </c>
      <c r="B2" s="23">
        <v>46477</v>
      </c>
      <c r="C2" s="23">
        <v>46843</v>
      </c>
      <c r="D2" s="23">
        <v>47208</v>
      </c>
      <c r="E2" s="23">
        <v>47573</v>
      </c>
      <c r="F2" s="23">
        <v>47938</v>
      </c>
      <c r="I2" s="22">
        <v>46112</v>
      </c>
    </row>
    <row r="3" spans="1:9">
      <c r="A3" s="4" t="s">
        <v>96</v>
      </c>
      <c r="B3" s="25">
        <f>I3*(1+B62)</f>
        <v>3028.0822319615381</v>
      </c>
      <c r="C3" s="25">
        <f t="shared" ref="C3:G4" si="0">B3*(1+C62)</f>
        <v>3099.819568912766</v>
      </c>
      <c r="D3" s="25">
        <f t="shared" si="0"/>
        <v>3170.7052599450431</v>
      </c>
      <c r="E3" s="25">
        <f t="shared" si="0"/>
        <v>3243.176052350077</v>
      </c>
      <c r="F3" s="25">
        <f t="shared" si="0"/>
        <v>3311.2827494494281</v>
      </c>
      <c r="G3" s="26">
        <f t="shared" si="0"/>
        <v>3380.8196871878658</v>
      </c>
      <c r="I3" s="24">
        <v>2931.97</v>
      </c>
    </row>
    <row r="4" spans="1:9">
      <c r="A4" s="4" t="s">
        <v>97</v>
      </c>
      <c r="B4" s="25">
        <f>I4*(1+B63)</f>
        <v>186.95583185714287</v>
      </c>
      <c r="C4" s="25">
        <f t="shared" si="0"/>
        <v>197.89274802078572</v>
      </c>
      <c r="D4" s="25">
        <f t="shared" si="0"/>
        <v>204.55412236954692</v>
      </c>
      <c r="E4" s="25">
        <f t="shared" si="0"/>
        <v>209.7597753276051</v>
      </c>
      <c r="F4" s="25">
        <f t="shared" si="0"/>
        <v>213.535451283502</v>
      </c>
      <c r="G4" s="26">
        <f t="shared" si="0"/>
        <v>217.37908940660503</v>
      </c>
      <c r="I4" s="24">
        <v>166.86099999999999</v>
      </c>
    </row>
    <row r="5" spans="1:9">
      <c r="A5" s="4" t="s">
        <v>78</v>
      </c>
      <c r="B5" s="25">
        <f t="shared" ref="B5:G5" si="1">(B3+B4)*($I$5/($I$4+$I$3))</f>
        <v>624.42681255470859</v>
      </c>
      <c r="C5" s="25">
        <f t="shared" si="1"/>
        <v>640.48386050503461</v>
      </c>
      <c r="D5" s="25">
        <f t="shared" si="1"/>
        <v>655.54510267314106</v>
      </c>
      <c r="E5" s="25">
        <f t="shared" si="1"/>
        <v>670.63147310666727</v>
      </c>
      <c r="F5" s="25">
        <f t="shared" si="1"/>
        <v>684.59251499630648</v>
      </c>
      <c r="G5" s="26">
        <f t="shared" si="1"/>
        <v>698.84453882280729</v>
      </c>
      <c r="I5" s="24">
        <f>'Comparable Company Analysis'!H49+'Comparable Company Analysis'!H68</f>
        <v>601.85699999999997</v>
      </c>
    </row>
    <row r="6" spans="1:9">
      <c r="A6" s="4" t="s">
        <v>79</v>
      </c>
      <c r="B6" s="25">
        <f t="shared" ref="B6:G6" si="2">(B3+B4)*($I$6/($I$4+$I$3))</f>
        <v>537.00703804704358</v>
      </c>
      <c r="C6" s="25">
        <f t="shared" si="2"/>
        <v>550.81609875074037</v>
      </c>
      <c r="D6" s="25">
        <f t="shared" si="2"/>
        <v>563.7687665148195</v>
      </c>
      <c r="E6" s="25">
        <f t="shared" si="2"/>
        <v>576.74304458632469</v>
      </c>
      <c r="F6" s="25">
        <f t="shared" si="2"/>
        <v>588.74954014748221</v>
      </c>
      <c r="G6" s="26">
        <f t="shared" si="2"/>
        <v>601.00628016467124</v>
      </c>
      <c r="I6" s="24">
        <f>'Comparable Company Analysis'!H68</f>
        <v>517.59699999999998</v>
      </c>
    </row>
    <row r="7" spans="1:9">
      <c r="A7" s="4" t="s">
        <v>3</v>
      </c>
      <c r="B7" s="25">
        <f t="shared" ref="B7:G7" si="3">B5-B6</f>
        <v>87.419774507665011</v>
      </c>
      <c r="C7" s="25">
        <f t="shared" si="3"/>
        <v>89.667761754294247</v>
      </c>
      <c r="D7" s="25">
        <f t="shared" si="3"/>
        <v>91.776336158321556</v>
      </c>
      <c r="E7" s="25">
        <f t="shared" si="3"/>
        <v>93.888428520342586</v>
      </c>
      <c r="F7" s="25">
        <f t="shared" si="3"/>
        <v>95.842974848824269</v>
      </c>
      <c r="G7" s="26">
        <f t="shared" si="3"/>
        <v>97.838258658136056</v>
      </c>
      <c r="I7" s="24"/>
    </row>
    <row r="8" spans="1:9">
      <c r="A8" s="4" t="s">
        <v>98</v>
      </c>
      <c r="B8" s="28">
        <f>B7*B4/(B3+B4)*0.25+B7*B3/(B3+B4)*0.165</f>
        <v>14.856360047001203</v>
      </c>
      <c r="C8" s="28">
        <f t="shared" ref="C8:G8" si="4">C7*C4/(C3+C4)*0.25+C7*C3/(C3+C4)*0.165</f>
        <v>15.252555632009361</v>
      </c>
      <c r="D8" s="28">
        <f t="shared" si="4"/>
        <v>15.615866352893887</v>
      </c>
      <c r="E8" s="28">
        <f t="shared" si="4"/>
        <v>15.97639303514581</v>
      </c>
      <c r="F8" s="28">
        <f t="shared" si="4"/>
        <v>16.307619621272497</v>
      </c>
      <c r="G8" s="29">
        <f t="shared" si="4"/>
        <v>16.645724967690839</v>
      </c>
      <c r="I8" s="27"/>
    </row>
    <row r="9" spans="1:9">
      <c r="A9" s="4" t="s">
        <v>99</v>
      </c>
      <c r="B9" s="25">
        <f>B7-B8+B6</f>
        <v>609.57045250770739</v>
      </c>
      <c r="C9" s="25">
        <f t="shared" ref="C9:G9" si="5">C7-C8+C6</f>
        <v>625.23130487302524</v>
      </c>
      <c r="D9" s="25">
        <f t="shared" si="5"/>
        <v>639.92923632024713</v>
      </c>
      <c r="E9" s="25">
        <f t="shared" si="5"/>
        <v>654.65508007152152</v>
      </c>
      <c r="F9" s="25">
        <f t="shared" si="5"/>
        <v>668.28489537503401</v>
      </c>
      <c r="G9" s="26">
        <f t="shared" si="5"/>
        <v>682.19881385511644</v>
      </c>
      <c r="I9" s="24"/>
    </row>
    <row r="10" spans="1:9">
      <c r="A10" s="4" t="s">
        <v>82</v>
      </c>
      <c r="B10" s="28">
        <f t="shared" ref="B10:G10" si="6">(B3+B4)*($I$10/($I$3+$I$4))</f>
        <v>158.42836941454385</v>
      </c>
      <c r="C10" s="28">
        <f t="shared" si="6"/>
        <v>162.50233272494927</v>
      </c>
      <c r="D10" s="28">
        <f t="shared" si="6"/>
        <v>166.32364210833137</v>
      </c>
      <c r="E10" s="28">
        <f t="shared" si="6"/>
        <v>170.15132698686617</v>
      </c>
      <c r="F10" s="28">
        <f t="shared" si="6"/>
        <v>173.69349567250359</v>
      </c>
      <c r="G10" s="29">
        <f t="shared" si="6"/>
        <v>177.30949173527983</v>
      </c>
      <c r="I10" s="27">
        <f>'Comparable Company Analysis'!H69</f>
        <v>152.702</v>
      </c>
    </row>
    <row r="11" spans="1:9">
      <c r="A11" s="30" t="s">
        <v>100</v>
      </c>
      <c r="B11" s="31">
        <f>B9-B10</f>
        <v>451.14208309316354</v>
      </c>
      <c r="C11" s="31">
        <f t="shared" ref="C11:E11" si="7">C9-C10</f>
        <v>462.72897214807597</v>
      </c>
      <c r="D11" s="31">
        <f t="shared" si="7"/>
        <v>473.60559421191579</v>
      </c>
      <c r="E11" s="31">
        <f t="shared" si="7"/>
        <v>484.50375308465539</v>
      </c>
      <c r="F11" s="31">
        <f>F9-F10</f>
        <v>494.59139970253045</v>
      </c>
      <c r="G11" s="32">
        <f>G9-G10</f>
        <v>504.88932211983661</v>
      </c>
    </row>
    <row r="12" spans="1:9">
      <c r="A12" s="33"/>
      <c r="B12" s="33"/>
      <c r="C12" s="33"/>
      <c r="D12" s="33"/>
      <c r="E12" s="33"/>
      <c r="F12" s="33"/>
    </row>
    <row r="13" spans="1:9">
      <c r="A13" s="4" t="s">
        <v>136</v>
      </c>
      <c r="B13" s="4">
        <v>1</v>
      </c>
      <c r="C13" s="4">
        <v>2</v>
      </c>
      <c r="D13" s="4">
        <v>3</v>
      </c>
      <c r="E13" s="4">
        <v>4</v>
      </c>
      <c r="F13" s="4">
        <v>5</v>
      </c>
      <c r="G13" s="67" t="s">
        <v>137</v>
      </c>
    </row>
    <row r="14" spans="1:9">
      <c r="A14" s="4" t="s">
        <v>101</v>
      </c>
      <c r="B14" s="34">
        <f>B11/(1+$B$41)^B13</f>
        <v>425.65983032583267</v>
      </c>
      <c r="C14" s="34">
        <f t="shared" ref="C14:F14" si="8">C11/(1+$B$41)^C13</f>
        <v>411.93182534215208</v>
      </c>
      <c r="D14" s="34">
        <f t="shared" si="8"/>
        <v>397.80002383868646</v>
      </c>
      <c r="E14" s="34">
        <f t="shared" si="8"/>
        <v>383.96748912373994</v>
      </c>
      <c r="F14" s="34">
        <f t="shared" si="8"/>
        <v>369.82238547239189</v>
      </c>
      <c r="G14" s="34">
        <f>(G11/(B41-G64))/(1+B41)^F13</f>
        <v>9668.5263144901528</v>
      </c>
    </row>
    <row r="15" spans="1:9" ht="14.5" thickBot="1">
      <c r="A15" s="4" t="s">
        <v>103</v>
      </c>
      <c r="B15" s="35"/>
      <c r="C15" s="35"/>
      <c r="D15" s="35"/>
      <c r="E15" s="35"/>
      <c r="F15" s="35"/>
      <c r="G15" s="36">
        <f>SUM(B14:G14)</f>
        <v>11657.707868592955</v>
      </c>
    </row>
    <row r="16" spans="1:9" ht="14.5" thickTop="1">
      <c r="A16" s="4"/>
      <c r="H16" s="37"/>
    </row>
    <row r="18" spans="1:10" ht="15">
      <c r="A18" s="85" t="s">
        <v>208</v>
      </c>
    </row>
    <row r="19" spans="1:10">
      <c r="A19" s="38" t="s">
        <v>7</v>
      </c>
      <c r="B19" s="23"/>
    </row>
    <row r="20" spans="1:10">
      <c r="A20" s="39" t="s">
        <v>119</v>
      </c>
      <c r="B20" s="34">
        <v>32.170999999999999</v>
      </c>
      <c r="C20" s="40"/>
      <c r="D20" s="40"/>
      <c r="E20" s="40"/>
      <c r="F20" s="40"/>
      <c r="G20" s="40"/>
    </row>
    <row r="21" spans="1:10">
      <c r="A21" s="41" t="s">
        <v>120</v>
      </c>
      <c r="B21" s="34">
        <v>0.46700000000000003</v>
      </c>
      <c r="C21" s="42"/>
      <c r="D21" s="42"/>
      <c r="E21" s="42"/>
      <c r="F21" s="42"/>
      <c r="G21" s="42"/>
    </row>
    <row r="22" spans="1:10">
      <c r="A22" s="21" t="s">
        <v>121</v>
      </c>
      <c r="B22" s="34">
        <f>'Comparable Company Analysis'!G36</f>
        <v>950.97799999999995</v>
      </c>
    </row>
    <row r="23" spans="1:10">
      <c r="A23" s="21" t="s">
        <v>106</v>
      </c>
      <c r="B23" s="43">
        <f>(B20+B21)/B22</f>
        <v>3.4320457465893003E-2</v>
      </c>
      <c r="C23" s="34"/>
      <c r="D23" s="34"/>
      <c r="E23" s="34"/>
      <c r="F23" s="34"/>
    </row>
    <row r="24" spans="1:10">
      <c r="A24" s="21" t="s">
        <v>55</v>
      </c>
      <c r="B24" s="43">
        <f>F4/(F3+F4)*0.25+F3/(F3+F4)*0.165</f>
        <v>0.17014934737778067</v>
      </c>
      <c r="C24" s="43"/>
      <c r="D24" s="43"/>
      <c r="E24" s="43"/>
      <c r="F24" s="43"/>
    </row>
    <row r="25" spans="1:10" ht="14.5" thickBot="1">
      <c r="A25" s="38" t="s">
        <v>107</v>
      </c>
      <c r="B25" s="44">
        <f>B23*(1-B24)</f>
        <v>2.8480854026364428E-2</v>
      </c>
      <c r="C25" s="43"/>
      <c r="D25" s="43"/>
      <c r="E25" s="43"/>
      <c r="F25" s="43"/>
      <c r="G25" s="34"/>
    </row>
    <row r="26" spans="1:10" ht="14.5" thickTop="1">
      <c r="C26" s="43"/>
      <c r="D26" s="43"/>
      <c r="E26" s="43"/>
      <c r="F26" s="43"/>
      <c r="G26" s="43"/>
    </row>
    <row r="27" spans="1:10">
      <c r="A27" s="38" t="s">
        <v>70</v>
      </c>
      <c r="B27" s="21"/>
      <c r="C27" s="21" t="s">
        <v>109</v>
      </c>
      <c r="D27" s="21" t="s">
        <v>110</v>
      </c>
      <c r="E27" s="21"/>
      <c r="F27" s="21"/>
      <c r="G27" s="43"/>
      <c r="H27" s="4" t="s">
        <v>81</v>
      </c>
    </row>
    <row r="28" spans="1:10">
      <c r="A28" s="21" t="s">
        <v>108</v>
      </c>
      <c r="B28" s="45">
        <f>'Risk-free Rate'!E9</f>
        <v>2.3146583333333345E-2</v>
      </c>
      <c r="D28" s="21"/>
      <c r="E28" s="21"/>
      <c r="F28" s="21"/>
      <c r="G28" s="43"/>
    </row>
    <row r="29" spans="1:10">
      <c r="A29" s="21" t="s">
        <v>76</v>
      </c>
      <c r="B29" s="46">
        <f>C29*(G3/(G3+G4))+D29*(G4/(G3+G4))</f>
        <v>4.8460413307575056E-2</v>
      </c>
      <c r="C29" s="45">
        <v>4.8399999999999999E-2</v>
      </c>
      <c r="D29" s="45">
        <v>4.9399999999999999E-2</v>
      </c>
    </row>
    <row r="30" spans="1:10">
      <c r="A30" s="21" t="s">
        <v>111</v>
      </c>
      <c r="B30" s="45">
        <f>'Comparable Company Analysis'!H52/'Comparable Company Analysis'!H51</f>
        <v>0.19491689589709812</v>
      </c>
      <c r="C30" s="45"/>
      <c r="D30" s="45"/>
      <c r="E30" s="45"/>
      <c r="F30" s="45"/>
    </row>
    <row r="31" spans="1:10">
      <c r="A31" s="21" t="s">
        <v>53</v>
      </c>
      <c r="B31" s="47">
        <f>'Comparable Company Analysis'!L36</f>
        <v>1.4220763393024036</v>
      </c>
      <c r="C31" s="21"/>
      <c r="D31" s="21"/>
      <c r="E31" s="21"/>
      <c r="F31" s="21"/>
      <c r="J31" s="48"/>
    </row>
    <row r="32" spans="1:10">
      <c r="A32" s="21" t="s">
        <v>112</v>
      </c>
      <c r="B32" s="47">
        <v>0.45400000000000001</v>
      </c>
      <c r="C32" s="21"/>
      <c r="D32" s="21"/>
      <c r="E32" s="21"/>
      <c r="F32" s="21"/>
      <c r="J32" s="48"/>
    </row>
    <row r="33" spans="1:10">
      <c r="A33" s="21" t="s">
        <v>113</v>
      </c>
      <c r="B33" s="47">
        <f>B32/(1+(1-B30)*B31)</f>
        <v>0.21166590248077166</v>
      </c>
      <c r="C33" s="47"/>
      <c r="D33" s="21"/>
      <c r="E33" s="21"/>
      <c r="F33" s="21"/>
      <c r="J33" s="48"/>
    </row>
    <row r="34" spans="1:10">
      <c r="A34" s="21" t="s">
        <v>114</v>
      </c>
      <c r="B34" s="47">
        <v>0.77</v>
      </c>
      <c r="C34" s="47"/>
      <c r="D34" s="49"/>
      <c r="E34" s="47"/>
      <c r="F34" s="47"/>
    </row>
    <row r="35" spans="1:10">
      <c r="A35" s="21" t="s">
        <v>115</v>
      </c>
      <c r="B35" s="47">
        <f>B34*(1+(1-B24)*B31)</f>
        <v>1.6786854532515116</v>
      </c>
      <c r="C35" s="47"/>
      <c r="D35" s="21"/>
      <c r="E35" s="47"/>
      <c r="F35" s="47"/>
    </row>
    <row r="36" spans="1:10" ht="14.5" thickBot="1">
      <c r="A36" s="38" t="s">
        <v>70</v>
      </c>
      <c r="B36" s="44">
        <f>B28+B35*B29</f>
        <v>0.10449637421131557</v>
      </c>
      <c r="C36" s="21"/>
      <c r="E36" s="47"/>
      <c r="F36" s="47"/>
    </row>
    <row r="37" spans="1:10" ht="14.5" thickTop="1">
      <c r="C37" s="21"/>
      <c r="D37" s="21"/>
      <c r="E37" s="21"/>
      <c r="F37" s="21"/>
    </row>
    <row r="38" spans="1:10">
      <c r="A38" s="38" t="s">
        <v>118</v>
      </c>
      <c r="C38" s="21"/>
      <c r="D38" s="21"/>
      <c r="E38" s="21"/>
      <c r="F38" s="21"/>
    </row>
    <row r="39" spans="1:10">
      <c r="A39" s="21" t="s">
        <v>116</v>
      </c>
      <c r="B39" s="46">
        <f>B31/(B31+1)</f>
        <v>0.58713109749133019</v>
      </c>
      <c r="C39" s="21"/>
      <c r="D39" s="21"/>
      <c r="E39" s="21"/>
      <c r="F39" s="21"/>
    </row>
    <row r="40" spans="1:10">
      <c r="A40" s="21" t="s">
        <v>117</v>
      </c>
      <c r="B40" s="46">
        <f>1-B39</f>
        <v>0.41286890250866981</v>
      </c>
      <c r="C40" s="21"/>
      <c r="D40" s="21"/>
      <c r="E40" s="21"/>
      <c r="F40" s="21"/>
    </row>
    <row r="41" spans="1:10" ht="14.5" thickBot="1">
      <c r="A41" s="38" t="s">
        <v>118</v>
      </c>
      <c r="B41" s="44">
        <f>B36*B40+B39*B25</f>
        <v>5.9865298418750844E-2</v>
      </c>
      <c r="C41" s="21"/>
      <c r="D41" s="21"/>
      <c r="E41" s="21"/>
      <c r="F41" s="21"/>
    </row>
    <row r="42" spans="1:10" ht="14.5" thickTop="1"/>
    <row r="43" spans="1:10" ht="15">
      <c r="A43" s="85" t="s">
        <v>209</v>
      </c>
    </row>
    <row r="44" spans="1:10">
      <c r="A44" s="38" t="s">
        <v>122</v>
      </c>
      <c r="B44" s="23">
        <v>46112</v>
      </c>
    </row>
    <row r="45" spans="1:10">
      <c r="A45" s="21" t="s">
        <v>123</v>
      </c>
      <c r="B45" s="4">
        <v>156</v>
      </c>
    </row>
    <row r="46" spans="1:10">
      <c r="A46" s="21" t="s">
        <v>124</v>
      </c>
      <c r="B46" s="4">
        <v>28</v>
      </c>
    </row>
    <row r="47" spans="1:10">
      <c r="A47" s="21" t="s">
        <v>125</v>
      </c>
      <c r="B47" s="50">
        <v>184</v>
      </c>
    </row>
    <row r="50" spans="1:7">
      <c r="A50" s="30" t="s">
        <v>129</v>
      </c>
      <c r="B50" s="23">
        <v>46387</v>
      </c>
      <c r="C50" s="23">
        <v>46752</v>
      </c>
      <c r="D50" s="23">
        <v>47118</v>
      </c>
      <c r="E50" s="23"/>
      <c r="F50" s="23"/>
    </row>
    <row r="51" spans="1:7">
      <c r="A51" s="21" t="s">
        <v>128</v>
      </c>
      <c r="B51" s="51">
        <v>2.1000000000000001E-2</v>
      </c>
      <c r="C51" s="51">
        <v>1.7999999999999999E-2</v>
      </c>
      <c r="D51" s="51">
        <v>2.1000000000000001E-2</v>
      </c>
    </row>
    <row r="52" spans="1:7">
      <c r="A52" s="21" t="s">
        <v>127</v>
      </c>
      <c r="B52" s="51">
        <v>1.2E-2</v>
      </c>
      <c r="C52" s="51">
        <v>1.4999999999999999E-2</v>
      </c>
      <c r="D52" s="51">
        <v>1.7999999999999999E-2</v>
      </c>
    </row>
    <row r="53" spans="1:7">
      <c r="B53" s="52" t="s">
        <v>130</v>
      </c>
    </row>
    <row r="55" spans="1:7">
      <c r="A55" s="38" t="s">
        <v>140</v>
      </c>
      <c r="B55" s="53" t="s">
        <v>126</v>
      </c>
    </row>
    <row r="56" spans="1:7">
      <c r="A56" s="21" t="s">
        <v>135</v>
      </c>
      <c r="B56" s="54">
        <v>0.3</v>
      </c>
    </row>
    <row r="57" spans="1:7">
      <c r="A57" s="4"/>
      <c r="B57" s="67" t="s">
        <v>84</v>
      </c>
      <c r="C57" s="67" t="s">
        <v>85</v>
      </c>
      <c r="D57" s="67" t="s">
        <v>86</v>
      </c>
      <c r="E57" s="67" t="s">
        <v>87</v>
      </c>
      <c r="F57" s="67" t="s">
        <v>88</v>
      </c>
      <c r="G57" s="67" t="s">
        <v>102</v>
      </c>
    </row>
    <row r="58" spans="1:7">
      <c r="A58" s="4" t="s">
        <v>131</v>
      </c>
      <c r="B58" s="55">
        <v>6</v>
      </c>
      <c r="C58" s="55">
        <v>3</v>
      </c>
      <c r="D58" s="55">
        <v>1</v>
      </c>
      <c r="E58" s="55">
        <v>1</v>
      </c>
      <c r="F58" s="55">
        <v>0</v>
      </c>
      <c r="G58" s="55">
        <v>0</v>
      </c>
    </row>
    <row r="59" spans="1:7">
      <c r="A59" s="4" t="s">
        <v>132</v>
      </c>
      <c r="B59" s="55">
        <v>10</v>
      </c>
      <c r="C59" s="55">
        <v>5</v>
      </c>
      <c r="D59" s="55">
        <v>2</v>
      </c>
      <c r="E59" s="55">
        <v>1</v>
      </c>
      <c r="F59" s="55">
        <v>0</v>
      </c>
      <c r="G59" s="55">
        <v>0</v>
      </c>
    </row>
    <row r="60" spans="1:7">
      <c r="A60" s="4" t="s">
        <v>133</v>
      </c>
      <c r="B60" s="56">
        <f>ROUNDUP(B45+B58*(1-$B$56),0)</f>
        <v>161</v>
      </c>
      <c r="C60" s="4">
        <f t="shared" ref="C60:G61" si="9">ROUNDUP(B60+C58*(1-$B$56),0)</f>
        <v>164</v>
      </c>
      <c r="D60" s="4">
        <f t="shared" si="9"/>
        <v>165</v>
      </c>
      <c r="E60" s="4">
        <f t="shared" si="9"/>
        <v>166</v>
      </c>
      <c r="F60" s="4">
        <f t="shared" si="9"/>
        <v>166</v>
      </c>
      <c r="G60" s="4">
        <f t="shared" si="9"/>
        <v>166</v>
      </c>
    </row>
    <row r="61" spans="1:7">
      <c r="A61" s="4" t="s">
        <v>134</v>
      </c>
      <c r="B61" s="4">
        <f>ROUNDUP(B46+B59*(1-$B$56),0)</f>
        <v>35</v>
      </c>
      <c r="C61" s="4">
        <f t="shared" si="9"/>
        <v>39</v>
      </c>
      <c r="D61" s="4">
        <f t="shared" si="9"/>
        <v>41</v>
      </c>
      <c r="E61" s="4">
        <f t="shared" si="9"/>
        <v>42</v>
      </c>
      <c r="F61" s="4">
        <f t="shared" si="9"/>
        <v>42</v>
      </c>
      <c r="G61" s="4">
        <f t="shared" si="9"/>
        <v>42</v>
      </c>
    </row>
    <row r="62" spans="1:7">
      <c r="A62" s="4" t="s">
        <v>138</v>
      </c>
      <c r="B62" s="43">
        <f>((1+B58*$B$56/B45)*(1+B51))-1</f>
        <v>3.2780769230769113E-2</v>
      </c>
      <c r="C62" s="43">
        <f>((1+C58*$B$56/B60)*(1+C51))-1</f>
        <v>2.3690683229813603E-2</v>
      </c>
      <c r="D62" s="43">
        <f>((1+D58*$B$56/C60)*(1+D51))-1</f>
        <v>2.2867682926829058E-2</v>
      </c>
      <c r="E62" s="43">
        <f>((1+E58*$B$56/D60)*(1+D51))-1</f>
        <v>2.2856363636363453E-2</v>
      </c>
      <c r="F62" s="43">
        <f>((1+F58*$B$56/E60)*(1+D51))-1</f>
        <v>2.0999999999999908E-2</v>
      </c>
      <c r="G62" s="43">
        <f>((1+G58*$B$56/F60)*(1+D51))-1</f>
        <v>2.0999999999999908E-2</v>
      </c>
    </row>
    <row r="63" spans="1:7">
      <c r="A63" s="4" t="s">
        <v>139</v>
      </c>
      <c r="B63" s="43">
        <f>((1+B59*$B$56/B46)*(1+B52))-1</f>
        <v>0.12042857142857155</v>
      </c>
      <c r="C63" s="43">
        <f>((1+C59*$B$56/B61)*(1+C52))-1</f>
        <v>5.8499999999999996E-2</v>
      </c>
      <c r="D63" s="43">
        <f>((1+D59*$B$56/C61)*(1+D52))-1</f>
        <v>3.3661538461538409E-2</v>
      </c>
      <c r="E63" s="43">
        <f>((1+E59*$B$56/D61)*(1+D52))-1</f>
        <v>2.5448780487804967E-2</v>
      </c>
      <c r="F63" s="43">
        <f>((1+F59*$B$56/E61)*(1+D52))-1</f>
        <v>1.8000000000000016E-2</v>
      </c>
      <c r="G63" s="43">
        <f>((1+G59*$B$56/F61)*(1+D52))-1</f>
        <v>1.8000000000000016E-2</v>
      </c>
    </row>
    <row r="64" spans="1:7" ht="14.5" thickBot="1">
      <c r="A64" s="30" t="s">
        <v>77</v>
      </c>
      <c r="B64" s="57"/>
      <c r="C64" s="57"/>
      <c r="D64" s="57"/>
      <c r="E64" s="57"/>
      <c r="F64" s="57"/>
      <c r="G64" s="58">
        <f>G62*(G3/(G3+G4))+G63*(G4/(G3+G4))</f>
        <v>2.0818760077274734E-2</v>
      </c>
    </row>
    <row r="65" spans="1:16" ht="14.5" thickTop="1"/>
    <row r="66" spans="1:16" ht="15">
      <c r="A66" s="85" t="s">
        <v>210</v>
      </c>
    </row>
    <row r="67" spans="1:16">
      <c r="B67" s="86"/>
      <c r="C67" s="50" t="s">
        <v>104</v>
      </c>
      <c r="D67" s="96" t="s">
        <v>118</v>
      </c>
      <c r="E67" s="96"/>
      <c r="F67" s="96"/>
      <c r="G67" s="96"/>
      <c r="H67" s="97"/>
      <c r="J67" s="86" t="s">
        <v>104</v>
      </c>
      <c r="K67" s="50"/>
      <c r="L67" s="96" t="s">
        <v>118</v>
      </c>
      <c r="M67" s="96"/>
      <c r="N67" s="96"/>
      <c r="O67" s="96"/>
      <c r="P67" s="97"/>
    </row>
    <row r="68" spans="1:16">
      <c r="B68" s="83"/>
      <c r="C68" s="87">
        <f>G15</f>
        <v>11657.707868592955</v>
      </c>
      <c r="D68" s="70">
        <v>4.99E-2</v>
      </c>
      <c r="E68" s="70">
        <v>5.4899999999999997E-2</v>
      </c>
      <c r="F68" s="70">
        <v>5.9900000000000002E-2</v>
      </c>
      <c r="G68" s="70">
        <v>6.4899999999999999E-2</v>
      </c>
      <c r="H68" s="71">
        <v>6.9900000000000004E-2</v>
      </c>
      <c r="J68" s="83"/>
      <c r="K68" s="66"/>
      <c r="L68" s="70">
        <f>$B$36*(1-L70)+$B$25*L70</f>
        <v>7.5070766347720974E-2</v>
      </c>
      <c r="M68" s="70">
        <f>$B$36*(1-M70)+$B$25*M70</f>
        <v>6.7469214329225868E-2</v>
      </c>
      <c r="N68" s="70">
        <f>$B$36*(1-N70)+$B$25*N70</f>
        <v>5.9867662310730756E-2</v>
      </c>
      <c r="O68" s="70">
        <f>$B$36*(1-O70)+$B$25*O70</f>
        <v>5.2266110292235636E-2</v>
      </c>
      <c r="P68" s="71">
        <f>$B$36*(1-P70)+$B$25*P70</f>
        <v>4.4664558273740523E-2</v>
      </c>
    </row>
    <row r="69" spans="1:16">
      <c r="B69" s="94" t="s">
        <v>140</v>
      </c>
      <c r="C69" s="70">
        <v>1.0800000000000001E-2</v>
      </c>
      <c r="D69" s="87">
        <f t="dataTable" ref="D69:H73" dt2D="1" dtr="1" r1="B41" r2="G64" ca="1"/>
        <v>12167.500981014351</v>
      </c>
      <c r="E69" s="87">
        <v>10780.757089300641</v>
      </c>
      <c r="F69" s="87">
        <v>9676.5811054470687</v>
      </c>
      <c r="G69" s="87">
        <v>8776.6236843494407</v>
      </c>
      <c r="H69" s="88">
        <v>8029.0497421455821</v>
      </c>
      <c r="J69" s="83"/>
      <c r="K69" s="66"/>
      <c r="L69" s="98" t="s">
        <v>212</v>
      </c>
      <c r="M69" s="98"/>
      <c r="N69" s="98"/>
      <c r="O69" s="98"/>
      <c r="P69" s="99"/>
    </row>
    <row r="70" spans="1:16">
      <c r="B70" s="94"/>
      <c r="C70" s="70">
        <v>1.5800000000000002E-2</v>
      </c>
      <c r="D70" s="87">
        <v>13651.711055860304</v>
      </c>
      <c r="E70" s="87">
        <v>11901.470017235008</v>
      </c>
      <c r="F70" s="87">
        <v>10548.18998881635</v>
      </c>
      <c r="G70" s="87">
        <v>9470.5978411011911</v>
      </c>
      <c r="H70" s="88">
        <v>8592.253451748973</v>
      </c>
      <c r="J70" s="83"/>
      <c r="K70" s="87">
        <f>G15</f>
        <v>11657.707868592955</v>
      </c>
      <c r="L70" s="70">
        <v>0.3871</v>
      </c>
      <c r="M70" s="70">
        <v>0.48709999999999998</v>
      </c>
      <c r="N70" s="70">
        <v>0.58709999999999996</v>
      </c>
      <c r="O70" s="70">
        <v>0.68710000000000004</v>
      </c>
      <c r="P70" s="71">
        <v>0.78710000000000002</v>
      </c>
    </row>
    <row r="71" spans="1:16">
      <c r="B71" s="94"/>
      <c r="C71" s="70">
        <v>2.0799999999999999E-2</v>
      </c>
      <c r="D71" s="87">
        <v>15645.958957113795</v>
      </c>
      <c r="E71" s="87">
        <v>13350.837762745436</v>
      </c>
      <c r="F71" s="87">
        <v>11642.716745170101</v>
      </c>
      <c r="G71" s="87">
        <v>10321.93575221842</v>
      </c>
      <c r="H71" s="88">
        <v>9270.1626011901208</v>
      </c>
      <c r="J71" s="94" t="s">
        <v>140</v>
      </c>
      <c r="K71" s="70">
        <v>1.0800000000000001E-2</v>
      </c>
      <c r="L71" s="87">
        <f t="dataTable" ref="L71:P75" dt2D="1" dtr="1" r1="B39" r2="G64"/>
        <v>7378.3868709576536</v>
      </c>
      <c r="M71" s="87">
        <v>8375.9972548428486</v>
      </c>
      <c r="N71" s="87">
        <v>9682.9989854309933</v>
      </c>
      <c r="O71" s="87">
        <v>11469.559294633422</v>
      </c>
      <c r="P71" s="88">
        <v>14058.635595703792</v>
      </c>
    </row>
    <row r="72" spans="1:16">
      <c r="B72" s="94"/>
      <c r="C72" s="70">
        <v>2.58E-2</v>
      </c>
      <c r="D72" s="87">
        <v>18467.695614074135</v>
      </c>
      <c r="E72" s="87">
        <v>15298.270025613398</v>
      </c>
      <c r="F72" s="87">
        <v>13058.219089897386</v>
      </c>
      <c r="G72" s="87">
        <v>11391.007144439798</v>
      </c>
      <c r="H72" s="88">
        <v>10101.792646196158</v>
      </c>
      <c r="J72" s="94"/>
      <c r="K72" s="70">
        <v>1.5800000000000002E-2</v>
      </c>
      <c r="L72" s="87">
        <v>7839.8392683308384</v>
      </c>
      <c r="M72" s="87">
        <v>8998.0258449291832</v>
      </c>
      <c r="N72" s="87">
        <v>10555.955483032014</v>
      </c>
      <c r="O72" s="87">
        <v>12763.622630760847</v>
      </c>
      <c r="P72" s="88">
        <v>16134.368907273749</v>
      </c>
    </row>
    <row r="73" spans="1:16">
      <c r="B73" s="95"/>
      <c r="C73" s="73">
        <v>3.0800000000000001E-2</v>
      </c>
      <c r="D73" s="89">
        <v>22766.781306092245</v>
      </c>
      <c r="E73" s="89">
        <v>18053.765468094622</v>
      </c>
      <c r="F73" s="89">
        <v>14960.148357211368</v>
      </c>
      <c r="G73" s="89">
        <v>12773.589208866861</v>
      </c>
      <c r="H73" s="90">
        <v>11146.115797341843</v>
      </c>
      <c r="J73" s="94"/>
      <c r="K73" s="70">
        <v>2.0799999999999999E-2</v>
      </c>
      <c r="L73" s="87">
        <v>8386.3194676732437</v>
      </c>
      <c r="M73" s="87">
        <v>9753.3389993748515</v>
      </c>
      <c r="N73" s="87">
        <v>11652.359314301943</v>
      </c>
      <c r="O73" s="87">
        <v>14468.942180036016</v>
      </c>
      <c r="P73" s="88">
        <v>19079.89971844964</v>
      </c>
    </row>
    <row r="74" spans="1:16">
      <c r="J74" s="94"/>
      <c r="K74" s="70">
        <v>2.58E-2</v>
      </c>
      <c r="L74" s="87">
        <v>9043.7133466376999</v>
      </c>
      <c r="M74" s="87">
        <v>10689.916227694819</v>
      </c>
      <c r="N74" s="87">
        <v>13070.594394593199</v>
      </c>
      <c r="O74" s="87">
        <v>16818.602560073716</v>
      </c>
      <c r="P74" s="88">
        <v>23586.840433018857</v>
      </c>
    </row>
    <row r="75" spans="1:16">
      <c r="J75" s="95"/>
      <c r="K75" s="73">
        <v>3.0800000000000001E-2</v>
      </c>
      <c r="L75" s="89">
        <v>9849.6011264759345</v>
      </c>
      <c r="M75" s="89">
        <v>11881.905862703166</v>
      </c>
      <c r="N75" s="89">
        <v>14976.737675114131</v>
      </c>
      <c r="O75" s="89">
        <v>20262.853598619102</v>
      </c>
      <c r="P75" s="90">
        <v>31344.473038079363</v>
      </c>
    </row>
  </sheetData>
  <mergeCells count="5">
    <mergeCell ref="B69:B73"/>
    <mergeCell ref="J71:J75"/>
    <mergeCell ref="D67:H67"/>
    <mergeCell ref="L67:P67"/>
    <mergeCell ref="L69:P69"/>
  </mergeCells>
  <phoneticPr fontId="2"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48C7E-C7D5-462F-AC1B-551BCFF8AEA8}">
  <dimension ref="A1:D20"/>
  <sheetViews>
    <sheetView zoomScale="108" zoomScaleNormal="108" workbookViewId="0">
      <selection activeCell="C24" sqref="C24"/>
    </sheetView>
  </sheetViews>
  <sheetFormatPr defaultRowHeight="14.5"/>
  <cols>
    <col min="1" max="1" width="10.6328125" customWidth="1"/>
    <col min="2" max="2" width="26.81640625" customWidth="1"/>
    <col min="3" max="3" width="14.6328125" customWidth="1"/>
    <col min="4" max="4" width="135.7265625" customWidth="1"/>
  </cols>
  <sheetData>
    <row r="1" spans="1:4" ht="17.5">
      <c r="A1" s="3" t="s">
        <v>207</v>
      </c>
    </row>
    <row r="2" spans="1:4" ht="18" thickBot="1">
      <c r="A2" s="3"/>
    </row>
    <row r="3" spans="1:4">
      <c r="B3" s="13" t="s">
        <v>71</v>
      </c>
      <c r="C3" s="14" t="s">
        <v>72</v>
      </c>
      <c r="D3" s="15" t="s">
        <v>73</v>
      </c>
    </row>
    <row r="4" spans="1:4">
      <c r="B4" s="11" t="s">
        <v>74</v>
      </c>
      <c r="C4" s="10">
        <f>'Risk-free Rate'!E9</f>
        <v>2.3146583333333345E-2</v>
      </c>
      <c r="D4" s="16" t="s">
        <v>91</v>
      </c>
    </row>
    <row r="5" spans="1:4" ht="28">
      <c r="B5" s="11" t="s">
        <v>75</v>
      </c>
      <c r="C5" s="17">
        <f>DCF!B35</f>
        <v>1.6786854532515116</v>
      </c>
      <c r="D5" s="16" t="s">
        <v>214</v>
      </c>
    </row>
    <row r="6" spans="1:4" ht="28">
      <c r="B6" s="11" t="s">
        <v>76</v>
      </c>
      <c r="C6" s="10">
        <f>DCF!B29</f>
        <v>4.8460413307575056E-2</v>
      </c>
      <c r="D6" s="16" t="s">
        <v>216</v>
      </c>
    </row>
    <row r="7" spans="1:4">
      <c r="B7" s="11" t="s">
        <v>70</v>
      </c>
      <c r="C7" s="10">
        <f>DCF!B36</f>
        <v>0.10449637421131557</v>
      </c>
      <c r="D7" s="16" t="s">
        <v>92</v>
      </c>
    </row>
    <row r="8" spans="1:4" ht="28">
      <c r="B8" s="11" t="s">
        <v>89</v>
      </c>
      <c r="C8" s="10">
        <f>DCF!B25</f>
        <v>2.8480854026364428E-2</v>
      </c>
      <c r="D8" s="16" t="s">
        <v>217</v>
      </c>
    </row>
    <row r="9" spans="1:4" ht="28">
      <c r="B9" s="11" t="s">
        <v>53</v>
      </c>
      <c r="C9" s="17">
        <f>DCF!B31</f>
        <v>1.4220763393024036</v>
      </c>
      <c r="D9" s="16" t="s">
        <v>93</v>
      </c>
    </row>
    <row r="10" spans="1:4" ht="28">
      <c r="B10" s="11" t="s">
        <v>83</v>
      </c>
      <c r="C10" s="10">
        <f>DCF!B41</f>
        <v>5.9865298418750844E-2</v>
      </c>
      <c r="D10" s="16" t="s">
        <v>94</v>
      </c>
    </row>
    <row r="11" spans="1:4" ht="42">
      <c r="B11" s="11" t="s">
        <v>77</v>
      </c>
      <c r="C11" s="10">
        <f>DCF!G64</f>
        <v>2.0818760077274734E-2</v>
      </c>
      <c r="D11" s="16" t="s">
        <v>218</v>
      </c>
    </row>
    <row r="12" spans="1:4" ht="42">
      <c r="B12" s="11" t="s">
        <v>80</v>
      </c>
      <c r="C12" s="10">
        <f>DCF!B24</f>
        <v>0.17014934737778067</v>
      </c>
      <c r="D12" s="16" t="s">
        <v>95</v>
      </c>
    </row>
    <row r="13" spans="1:4">
      <c r="B13" s="11" t="s">
        <v>0</v>
      </c>
      <c r="C13" s="18"/>
      <c r="D13" s="16" t="s">
        <v>211</v>
      </c>
    </row>
    <row r="14" spans="1:4">
      <c r="B14" s="11" t="s">
        <v>78</v>
      </c>
      <c r="C14" s="18"/>
      <c r="D14" s="100" t="s">
        <v>213</v>
      </c>
    </row>
    <row r="15" spans="1:4">
      <c r="B15" s="11" t="s">
        <v>79</v>
      </c>
      <c r="C15" s="18"/>
      <c r="D15" s="101"/>
    </row>
    <row r="16" spans="1:4" ht="15" thickBot="1">
      <c r="B16" s="12" t="s">
        <v>82</v>
      </c>
      <c r="C16" s="19"/>
      <c r="D16" s="102"/>
    </row>
    <row r="18" spans="1:3">
      <c r="B18" s="59" t="s">
        <v>215</v>
      </c>
      <c r="C18" s="20"/>
    </row>
    <row r="19" spans="1:3">
      <c r="B19" s="60" t="s">
        <v>9</v>
      </c>
    </row>
    <row r="20" spans="1:3">
      <c r="A20" s="1"/>
    </row>
  </sheetData>
  <mergeCells count="1">
    <mergeCell ref="D14:D16"/>
  </mergeCells>
  <hyperlinks>
    <hyperlink ref="B19" r:id="rId1" xr:uid="{8DF8571A-79EB-4696-8309-B4CC13C76C8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C2BA-4596-4517-A0FB-E6DDE76D7797}">
  <dimension ref="A1:K122"/>
  <sheetViews>
    <sheetView topLeftCell="A52" workbookViewId="0">
      <selection activeCell="E16" sqref="E16"/>
    </sheetView>
  </sheetViews>
  <sheetFormatPr defaultRowHeight="14.5"/>
  <sheetData>
    <row r="1" spans="1:11" ht="17.5">
      <c r="A1" s="2" t="s">
        <v>90</v>
      </c>
      <c r="B1" s="3"/>
      <c r="C1" s="4"/>
      <c r="D1" s="4"/>
      <c r="E1" s="4"/>
      <c r="F1" s="4"/>
      <c r="G1" s="4"/>
      <c r="H1" s="4"/>
      <c r="I1" s="4"/>
      <c r="J1" s="4"/>
      <c r="K1" s="4"/>
    </row>
    <row r="2" spans="1:11">
      <c r="A2" s="5" t="s">
        <v>66</v>
      </c>
      <c r="B2" s="5" t="s">
        <v>67</v>
      </c>
      <c r="C2" s="4"/>
      <c r="D2" s="4"/>
      <c r="E2" s="4"/>
      <c r="F2" s="4"/>
      <c r="G2" s="4"/>
      <c r="H2" s="4"/>
      <c r="I2" s="4"/>
      <c r="J2" s="4"/>
      <c r="K2" s="4"/>
    </row>
    <row r="3" spans="1:11">
      <c r="A3" s="6">
        <v>46235</v>
      </c>
      <c r="B3" s="7">
        <v>3.6179999999999999</v>
      </c>
      <c r="C3" s="4"/>
      <c r="D3" s="4"/>
      <c r="E3" s="4"/>
      <c r="F3" s="4"/>
      <c r="G3" s="4"/>
      <c r="H3" s="4"/>
      <c r="I3" s="4"/>
      <c r="J3" s="4"/>
      <c r="K3" s="4"/>
    </row>
    <row r="4" spans="1:11">
      <c r="A4" s="6">
        <v>46204</v>
      </c>
      <c r="B4" s="7">
        <v>3.508</v>
      </c>
      <c r="C4" s="4"/>
      <c r="D4" s="4"/>
      <c r="E4" s="4"/>
      <c r="F4" s="4"/>
      <c r="G4" s="4"/>
      <c r="H4" s="4"/>
      <c r="I4" s="4"/>
      <c r="J4" s="4"/>
      <c r="K4" s="4"/>
    </row>
    <row r="5" spans="1:11">
      <c r="A5" s="6">
        <v>46174</v>
      </c>
      <c r="B5" s="7">
        <v>3.2930000000000001</v>
      </c>
      <c r="C5" s="4"/>
      <c r="D5" s="4"/>
      <c r="E5" s="4"/>
      <c r="F5" s="4"/>
      <c r="G5" s="4"/>
      <c r="H5" s="4"/>
      <c r="I5" s="4"/>
      <c r="J5" s="4"/>
      <c r="K5" s="4"/>
    </row>
    <row r="6" spans="1:11">
      <c r="A6" s="6">
        <v>46143</v>
      </c>
      <c r="B6" s="7">
        <v>3.2749999999999999</v>
      </c>
      <c r="C6" s="4"/>
      <c r="D6" s="4"/>
      <c r="E6" s="4"/>
      <c r="F6" s="4"/>
      <c r="G6" s="4"/>
      <c r="H6" s="4"/>
      <c r="I6" s="4"/>
      <c r="J6" s="4"/>
      <c r="K6" s="4"/>
    </row>
    <row r="7" spans="1:11">
      <c r="A7" s="6">
        <v>46113</v>
      </c>
      <c r="B7" s="7">
        <v>3.0030000000000001</v>
      </c>
      <c r="C7" s="4"/>
      <c r="D7" s="103" t="s">
        <v>68</v>
      </c>
      <c r="E7" s="104"/>
      <c r="F7" s="104"/>
      <c r="G7" s="104"/>
      <c r="H7" s="104"/>
      <c r="I7" s="104"/>
      <c r="J7" s="104"/>
      <c r="K7" s="104"/>
    </row>
    <row r="8" spans="1:11">
      <c r="A8" s="6">
        <v>46082</v>
      </c>
      <c r="B8" s="7">
        <v>2.8969999999999998</v>
      </c>
      <c r="C8" s="4"/>
      <c r="D8" s="4"/>
      <c r="E8" s="4"/>
      <c r="F8" s="4"/>
      <c r="G8" s="4"/>
      <c r="H8" s="4"/>
      <c r="I8" s="4"/>
      <c r="J8" s="4"/>
      <c r="K8" s="4"/>
    </row>
    <row r="9" spans="1:11">
      <c r="A9" s="6">
        <v>46054</v>
      </c>
      <c r="B9" s="7">
        <v>2.8180000000000001</v>
      </c>
      <c r="C9" s="4"/>
      <c r="D9" s="8" t="s">
        <v>69</v>
      </c>
      <c r="E9" s="9">
        <f>AVERAGE(B3:B122)/100</f>
        <v>2.3146583333333345E-2</v>
      </c>
      <c r="F9" s="4"/>
      <c r="G9" s="4"/>
      <c r="H9" s="4"/>
      <c r="I9" s="4"/>
      <c r="J9" s="4"/>
      <c r="K9" s="4"/>
    </row>
    <row r="10" spans="1:11">
      <c r="A10" s="6">
        <v>46023</v>
      </c>
      <c r="B10" s="7">
        <v>3.1920000000000002</v>
      </c>
      <c r="C10" s="4"/>
      <c r="D10" s="4"/>
      <c r="E10" s="4"/>
      <c r="F10" s="4"/>
      <c r="G10" s="4"/>
      <c r="H10" s="4"/>
      <c r="I10" s="4"/>
      <c r="J10" s="4"/>
      <c r="K10" s="4"/>
    </row>
    <row r="11" spans="1:11">
      <c r="A11" s="6">
        <v>45992</v>
      </c>
      <c r="B11" s="7">
        <v>3.0990000000000002</v>
      </c>
      <c r="C11" s="4"/>
      <c r="D11" s="4"/>
      <c r="E11" s="4"/>
      <c r="F11" s="4"/>
      <c r="G11" s="4"/>
      <c r="H11" s="4"/>
      <c r="I11" s="4"/>
      <c r="J11" s="4"/>
      <c r="K11" s="4"/>
    </row>
    <row r="12" spans="1:11">
      <c r="A12" s="6">
        <v>45962</v>
      </c>
      <c r="B12" s="7">
        <v>2.9350000000000001</v>
      </c>
      <c r="C12" s="4"/>
      <c r="D12" s="4"/>
      <c r="E12" s="4"/>
      <c r="F12" s="4"/>
      <c r="G12" s="4"/>
      <c r="H12" s="4"/>
      <c r="I12" s="4"/>
      <c r="J12" s="4"/>
      <c r="K12" s="4"/>
    </row>
    <row r="13" spans="1:11">
      <c r="A13" s="6">
        <v>45931</v>
      </c>
      <c r="B13" s="7">
        <v>2.98</v>
      </c>
      <c r="C13" s="4"/>
      <c r="D13" s="4"/>
      <c r="E13" s="4"/>
      <c r="F13" s="4"/>
      <c r="G13" s="4"/>
      <c r="H13" s="4"/>
      <c r="I13" s="4"/>
      <c r="J13" s="4"/>
      <c r="K13" s="4"/>
    </row>
    <row r="14" spans="1:11">
      <c r="A14" s="6">
        <v>45901</v>
      </c>
      <c r="B14" s="7">
        <v>3.0529999999999999</v>
      </c>
      <c r="C14" s="4"/>
      <c r="D14" s="4"/>
      <c r="E14" s="4"/>
      <c r="F14" s="4"/>
      <c r="G14" s="4"/>
      <c r="H14" s="4"/>
      <c r="I14" s="4"/>
      <c r="J14" s="4"/>
      <c r="K14" s="4"/>
    </row>
    <row r="15" spans="1:11">
      <c r="A15" s="6">
        <v>45870</v>
      </c>
      <c r="B15" s="7">
        <v>3.0710000000000002</v>
      </c>
      <c r="C15" s="4"/>
      <c r="D15" s="4"/>
      <c r="E15" s="4"/>
      <c r="F15" s="4"/>
      <c r="G15" s="4"/>
      <c r="H15" s="4"/>
      <c r="I15" s="4"/>
      <c r="J15" s="4"/>
      <c r="K15" s="4"/>
    </row>
    <row r="16" spans="1:11">
      <c r="A16" s="6">
        <v>45839</v>
      </c>
      <c r="B16" s="7">
        <v>3.0510000000000002</v>
      </c>
      <c r="C16" s="4"/>
      <c r="D16" s="4"/>
      <c r="E16" s="4"/>
      <c r="F16" s="4"/>
      <c r="G16" s="4"/>
      <c r="H16" s="4"/>
      <c r="I16" s="4"/>
      <c r="J16" s="4"/>
      <c r="K16" s="4"/>
    </row>
    <row r="17" spans="1:11">
      <c r="A17" s="6">
        <v>45809</v>
      </c>
      <c r="B17" s="7">
        <v>2.9729999999999999</v>
      </c>
      <c r="C17" s="4"/>
      <c r="D17" s="4"/>
      <c r="E17" s="4"/>
      <c r="F17" s="4"/>
      <c r="G17" s="4"/>
      <c r="H17" s="4"/>
      <c r="I17" s="4"/>
      <c r="J17" s="4"/>
      <c r="K17" s="4"/>
    </row>
    <row r="18" spans="1:11">
      <c r="A18" s="6">
        <v>45778</v>
      </c>
      <c r="B18" s="7">
        <v>3.008</v>
      </c>
      <c r="C18" s="4"/>
      <c r="D18" s="4"/>
      <c r="E18" s="4"/>
      <c r="F18" s="4"/>
      <c r="G18" s="4"/>
      <c r="H18" s="4"/>
      <c r="I18" s="4"/>
      <c r="J18" s="4"/>
      <c r="K18" s="4"/>
    </row>
    <row r="19" spans="1:11">
      <c r="A19" s="6">
        <v>45748</v>
      </c>
      <c r="B19" s="7">
        <v>3.157</v>
      </c>
      <c r="C19" s="4"/>
      <c r="D19" s="4"/>
      <c r="E19" s="4"/>
      <c r="F19" s="4"/>
      <c r="G19" s="4"/>
      <c r="H19" s="4"/>
      <c r="I19" s="4"/>
      <c r="J19" s="4"/>
      <c r="K19" s="4"/>
    </row>
    <row r="20" spans="1:11">
      <c r="A20" s="6">
        <v>45717</v>
      </c>
      <c r="B20" s="7">
        <v>3.3860000000000001</v>
      </c>
      <c r="C20" s="4"/>
      <c r="D20" s="4"/>
      <c r="E20" s="4"/>
      <c r="F20" s="4"/>
      <c r="G20" s="4"/>
      <c r="H20" s="4"/>
      <c r="I20" s="4"/>
      <c r="J20" s="4"/>
      <c r="K20" s="4"/>
    </row>
    <row r="21" spans="1:11">
      <c r="A21" s="6">
        <v>45689</v>
      </c>
      <c r="B21" s="7">
        <v>3.48</v>
      </c>
      <c r="C21" s="4"/>
      <c r="D21" s="4"/>
      <c r="E21" s="4"/>
      <c r="F21" s="4"/>
      <c r="G21" s="4"/>
      <c r="H21" s="4"/>
      <c r="I21" s="4"/>
      <c r="J21" s="4"/>
      <c r="K21" s="4"/>
    </row>
    <row r="22" spans="1:11">
      <c r="A22" s="6">
        <v>45658</v>
      </c>
      <c r="B22" s="7">
        <v>3.681</v>
      </c>
      <c r="C22" s="4"/>
      <c r="D22" s="4"/>
      <c r="E22" s="4"/>
      <c r="F22" s="4"/>
      <c r="G22" s="4"/>
      <c r="H22" s="4"/>
      <c r="I22" s="4"/>
      <c r="J22" s="4"/>
      <c r="K22" s="4"/>
    </row>
    <row r="23" spans="1:11">
      <c r="A23" s="6">
        <v>45627</v>
      </c>
      <c r="B23" s="7">
        <v>3.742</v>
      </c>
      <c r="C23" s="4"/>
      <c r="D23" s="4"/>
      <c r="E23" s="4"/>
      <c r="F23" s="4"/>
      <c r="G23" s="4"/>
      <c r="H23" s="4"/>
      <c r="I23" s="4"/>
      <c r="J23" s="4"/>
      <c r="K23" s="4"/>
    </row>
    <row r="24" spans="1:11">
      <c r="A24" s="6">
        <v>45597</v>
      </c>
      <c r="B24" s="7">
        <v>3.2669999999999999</v>
      </c>
      <c r="C24" s="4"/>
      <c r="D24" s="4"/>
      <c r="E24" s="4"/>
      <c r="F24" s="4"/>
      <c r="G24" s="4"/>
      <c r="H24" s="4"/>
      <c r="I24" s="4"/>
      <c r="J24" s="4"/>
      <c r="K24" s="4"/>
    </row>
    <row r="25" spans="1:11">
      <c r="A25" s="6">
        <v>45566</v>
      </c>
      <c r="B25" s="7">
        <v>3.133</v>
      </c>
      <c r="C25" s="4"/>
      <c r="D25" s="4"/>
      <c r="E25" s="4"/>
      <c r="F25" s="4"/>
      <c r="G25" s="4"/>
      <c r="H25" s="4"/>
      <c r="I25" s="4"/>
      <c r="J25" s="4"/>
      <c r="K25" s="4"/>
    </row>
    <row r="26" spans="1:11">
      <c r="A26" s="6">
        <v>45536</v>
      </c>
      <c r="B26" s="7">
        <v>2.7629999999999999</v>
      </c>
      <c r="C26" s="4"/>
      <c r="D26" s="4"/>
      <c r="E26" s="4"/>
      <c r="F26" s="4"/>
      <c r="G26" s="4"/>
      <c r="H26" s="4"/>
      <c r="I26" s="4"/>
      <c r="J26" s="4"/>
      <c r="K26" s="4"/>
    </row>
    <row r="27" spans="1:11">
      <c r="A27" s="6">
        <v>45505</v>
      </c>
      <c r="B27" s="7">
        <v>2.9529999999999998</v>
      </c>
      <c r="C27" s="4"/>
      <c r="D27" s="4"/>
      <c r="E27" s="4"/>
      <c r="F27" s="4"/>
      <c r="G27" s="4"/>
      <c r="H27" s="4"/>
      <c r="I27" s="4"/>
      <c r="J27" s="4"/>
      <c r="K27" s="4"/>
    </row>
    <row r="28" spans="1:11">
      <c r="A28" s="6">
        <v>45474</v>
      </c>
      <c r="B28" s="7">
        <v>3.173</v>
      </c>
      <c r="C28" s="4"/>
      <c r="D28" s="4"/>
      <c r="E28" s="4"/>
      <c r="F28" s="4"/>
      <c r="G28" s="4"/>
      <c r="H28" s="4"/>
      <c r="I28" s="4"/>
      <c r="J28" s="4"/>
      <c r="K28" s="4"/>
    </row>
    <row r="29" spans="1:11">
      <c r="A29" s="6">
        <v>45444</v>
      </c>
      <c r="B29" s="7">
        <v>3.5819999999999999</v>
      </c>
      <c r="C29" s="4"/>
      <c r="D29" s="4"/>
      <c r="E29" s="4"/>
      <c r="F29" s="4"/>
      <c r="G29" s="4"/>
      <c r="H29" s="4"/>
      <c r="I29" s="4"/>
      <c r="J29" s="4"/>
      <c r="K29" s="4"/>
    </row>
    <row r="30" spans="1:11">
      <c r="A30" s="6">
        <v>45413</v>
      </c>
      <c r="B30" s="7">
        <v>3.8959999999999999</v>
      </c>
      <c r="C30" s="4"/>
      <c r="D30" s="4"/>
      <c r="E30" s="4"/>
      <c r="F30" s="4"/>
      <c r="G30" s="4"/>
      <c r="H30" s="4"/>
      <c r="I30" s="4"/>
      <c r="J30" s="4"/>
      <c r="K30" s="4"/>
    </row>
    <row r="31" spans="1:11">
      <c r="A31" s="6">
        <v>45383</v>
      </c>
      <c r="B31" s="7">
        <v>4.0350000000000001</v>
      </c>
      <c r="C31" s="4"/>
      <c r="D31" s="4"/>
      <c r="E31" s="4"/>
      <c r="F31" s="4"/>
      <c r="G31" s="4"/>
      <c r="H31" s="4"/>
      <c r="I31" s="4"/>
      <c r="J31" s="4"/>
      <c r="K31" s="4"/>
    </row>
    <row r="32" spans="1:11">
      <c r="A32" s="6">
        <v>45352</v>
      </c>
      <c r="B32" s="7">
        <v>3.7559999999999998</v>
      </c>
      <c r="C32" s="4"/>
      <c r="D32" s="4"/>
      <c r="E32" s="4"/>
      <c r="F32" s="4"/>
      <c r="G32" s="4"/>
      <c r="H32" s="4"/>
      <c r="I32" s="4"/>
      <c r="J32" s="4"/>
      <c r="K32" s="4"/>
    </row>
    <row r="33" spans="1:11">
      <c r="A33" s="6">
        <v>45323</v>
      </c>
      <c r="B33" s="7">
        <v>3.855</v>
      </c>
      <c r="C33" s="4"/>
      <c r="D33" s="4"/>
      <c r="E33" s="4"/>
      <c r="F33" s="4"/>
      <c r="G33" s="4"/>
      <c r="H33" s="4"/>
      <c r="I33" s="4"/>
      <c r="J33" s="4"/>
      <c r="K33" s="4"/>
    </row>
    <row r="34" spans="1:11">
      <c r="A34" s="6">
        <v>45292</v>
      </c>
      <c r="B34" s="7">
        <v>3.5790000000000002</v>
      </c>
      <c r="C34" s="4"/>
      <c r="D34" s="4"/>
      <c r="E34" s="4"/>
      <c r="F34" s="4"/>
      <c r="G34" s="4"/>
      <c r="H34" s="4"/>
      <c r="I34" s="4"/>
      <c r="J34" s="4"/>
      <c r="K34" s="4"/>
    </row>
    <row r="35" spans="1:11">
      <c r="A35" s="6">
        <v>45261</v>
      </c>
      <c r="B35" s="7">
        <v>3.2719999999999998</v>
      </c>
      <c r="C35" s="4"/>
      <c r="D35" s="4"/>
      <c r="E35" s="4"/>
      <c r="F35" s="4"/>
      <c r="G35" s="4"/>
      <c r="H35" s="4"/>
      <c r="I35" s="4"/>
      <c r="J35" s="4"/>
      <c r="K35" s="4"/>
    </row>
    <row r="36" spans="1:11">
      <c r="A36" s="6">
        <v>45231</v>
      </c>
      <c r="B36" s="7">
        <v>3.7730000000000001</v>
      </c>
      <c r="C36" s="4"/>
      <c r="D36" s="4"/>
      <c r="E36" s="4"/>
      <c r="F36" s="4"/>
      <c r="G36" s="4"/>
      <c r="H36" s="4"/>
      <c r="I36" s="4"/>
      <c r="J36" s="4"/>
      <c r="K36" s="4"/>
    </row>
    <row r="37" spans="1:11">
      <c r="A37" s="6">
        <v>45200</v>
      </c>
      <c r="B37" s="7">
        <v>4.38</v>
      </c>
      <c r="C37" s="4"/>
      <c r="D37" s="4"/>
      <c r="E37" s="4"/>
      <c r="F37" s="4"/>
      <c r="G37" s="4"/>
      <c r="H37" s="4"/>
      <c r="I37" s="4"/>
      <c r="J37" s="4"/>
      <c r="K37" s="4"/>
    </row>
    <row r="38" spans="1:11">
      <c r="A38" s="6">
        <v>45170</v>
      </c>
      <c r="B38" s="7">
        <v>4.2169999999999996</v>
      </c>
      <c r="C38" s="4"/>
      <c r="D38" s="4"/>
      <c r="E38" s="4"/>
      <c r="F38" s="4"/>
      <c r="G38" s="4"/>
      <c r="H38" s="4"/>
      <c r="I38" s="4"/>
      <c r="J38" s="4"/>
      <c r="K38" s="4"/>
    </row>
    <row r="39" spans="1:11">
      <c r="A39" s="6">
        <v>45139</v>
      </c>
      <c r="B39" s="7">
        <v>3.8530000000000002</v>
      </c>
      <c r="C39" s="4"/>
      <c r="D39" s="4"/>
      <c r="E39" s="4"/>
      <c r="F39" s="4"/>
      <c r="G39" s="4"/>
      <c r="H39" s="4"/>
      <c r="I39" s="4"/>
      <c r="J39" s="4"/>
      <c r="K39" s="4"/>
    </row>
    <row r="40" spans="1:11">
      <c r="A40" s="6">
        <v>45108</v>
      </c>
      <c r="B40" s="7">
        <v>3.9140000000000001</v>
      </c>
      <c r="C40" s="4"/>
      <c r="D40" s="4"/>
      <c r="E40" s="4"/>
      <c r="F40" s="4"/>
      <c r="G40" s="4"/>
      <c r="H40" s="4"/>
      <c r="I40" s="4"/>
      <c r="J40" s="4"/>
      <c r="K40" s="4"/>
    </row>
    <row r="41" spans="1:11">
      <c r="A41" s="6">
        <v>45078</v>
      </c>
      <c r="B41" s="7">
        <v>3.7389999999999999</v>
      </c>
      <c r="C41" s="4"/>
      <c r="D41" s="4"/>
      <c r="E41" s="4"/>
      <c r="F41" s="4"/>
      <c r="G41" s="4"/>
      <c r="H41" s="4"/>
      <c r="I41" s="4"/>
      <c r="J41" s="4"/>
      <c r="K41" s="4"/>
    </row>
    <row r="42" spans="1:11">
      <c r="A42" s="6">
        <v>45047</v>
      </c>
      <c r="B42" s="7">
        <v>3.5219999999999998</v>
      </c>
      <c r="C42" s="4"/>
      <c r="D42" s="4"/>
      <c r="E42" s="4"/>
      <c r="F42" s="4"/>
      <c r="G42" s="4"/>
      <c r="H42" s="4"/>
      <c r="I42" s="4"/>
      <c r="J42" s="4"/>
      <c r="K42" s="4"/>
    </row>
    <row r="43" spans="1:11">
      <c r="A43" s="6">
        <v>45017</v>
      </c>
      <c r="B43" s="7">
        <v>3.1459999999999999</v>
      </c>
      <c r="C43" s="4"/>
      <c r="D43" s="4"/>
      <c r="E43" s="4"/>
      <c r="F43" s="4"/>
      <c r="G43" s="4"/>
      <c r="H43" s="4"/>
      <c r="I43" s="4"/>
      <c r="J43" s="4"/>
      <c r="K43" s="4"/>
    </row>
    <row r="44" spans="1:11">
      <c r="A44" s="6">
        <v>44986</v>
      </c>
      <c r="B44" s="7">
        <v>3.1930000000000001</v>
      </c>
      <c r="C44" s="4"/>
      <c r="D44" s="4"/>
      <c r="E44" s="4"/>
      <c r="F44" s="4"/>
      <c r="G44" s="4"/>
      <c r="H44" s="4"/>
      <c r="I44" s="4"/>
      <c r="J44" s="4"/>
      <c r="K44" s="4"/>
    </row>
    <row r="45" spans="1:11">
      <c r="A45" s="6">
        <v>44958</v>
      </c>
      <c r="B45" s="7">
        <v>3.903</v>
      </c>
      <c r="C45" s="4"/>
      <c r="D45" s="4"/>
      <c r="E45" s="4"/>
      <c r="F45" s="4"/>
      <c r="G45" s="4"/>
      <c r="H45" s="4"/>
      <c r="I45" s="4"/>
      <c r="J45" s="4"/>
      <c r="K45" s="4"/>
    </row>
    <row r="46" spans="1:11">
      <c r="A46" s="6">
        <v>44927</v>
      </c>
      <c r="B46" s="7">
        <v>3.1840000000000002</v>
      </c>
      <c r="C46" s="4"/>
      <c r="D46" s="4"/>
      <c r="E46" s="4"/>
      <c r="F46" s="4"/>
      <c r="G46" s="4"/>
      <c r="H46" s="4"/>
      <c r="I46" s="4"/>
      <c r="J46" s="4"/>
      <c r="K46" s="4"/>
    </row>
    <row r="47" spans="1:11">
      <c r="A47" s="6">
        <v>44896</v>
      </c>
      <c r="B47" s="7">
        <v>3.7080000000000002</v>
      </c>
      <c r="C47" s="4"/>
      <c r="D47" s="4"/>
      <c r="E47" s="4"/>
      <c r="F47" s="4"/>
      <c r="G47" s="4"/>
      <c r="H47" s="4"/>
      <c r="I47" s="4"/>
      <c r="J47" s="4"/>
      <c r="K47" s="4"/>
    </row>
    <row r="48" spans="1:11">
      <c r="A48" s="6">
        <v>44866</v>
      </c>
      <c r="B48" s="7">
        <v>3.6179999999999999</v>
      </c>
      <c r="C48" s="4"/>
      <c r="D48" s="4"/>
      <c r="E48" s="4"/>
      <c r="F48" s="4"/>
      <c r="G48" s="4"/>
      <c r="H48" s="4"/>
      <c r="I48" s="4"/>
      <c r="J48" s="4"/>
      <c r="K48" s="4"/>
    </row>
    <row r="49" spans="1:11">
      <c r="A49" s="6">
        <v>44835</v>
      </c>
      <c r="B49" s="7">
        <v>3.9940000000000002</v>
      </c>
      <c r="C49" s="4"/>
      <c r="D49" s="4"/>
      <c r="E49" s="4"/>
      <c r="F49" s="4"/>
      <c r="G49" s="4"/>
      <c r="H49" s="4"/>
      <c r="I49" s="4"/>
      <c r="J49" s="4"/>
      <c r="K49" s="4"/>
    </row>
    <row r="50" spans="1:11">
      <c r="A50" s="6">
        <v>44805</v>
      </c>
      <c r="B50" s="7">
        <v>3.6179999999999999</v>
      </c>
      <c r="C50" s="4"/>
      <c r="D50" s="4"/>
      <c r="E50" s="4"/>
      <c r="F50" s="4"/>
      <c r="G50" s="4"/>
      <c r="H50" s="4"/>
      <c r="I50" s="4"/>
      <c r="J50" s="4"/>
      <c r="K50" s="4"/>
    </row>
    <row r="51" spans="1:11">
      <c r="A51" s="6">
        <v>44774</v>
      </c>
      <c r="B51" s="7">
        <v>3.09</v>
      </c>
      <c r="C51" s="4"/>
      <c r="D51" s="4"/>
      <c r="E51" s="4"/>
      <c r="F51" s="4"/>
      <c r="G51" s="4"/>
      <c r="H51" s="4"/>
      <c r="I51" s="4"/>
      <c r="J51" s="4"/>
      <c r="K51" s="4"/>
    </row>
    <row r="52" spans="1:11">
      <c r="A52" s="6">
        <v>44743</v>
      </c>
      <c r="B52" s="7">
        <v>2.6309999999999998</v>
      </c>
      <c r="C52" s="4"/>
      <c r="D52" s="4"/>
      <c r="E52" s="4"/>
      <c r="F52" s="4"/>
      <c r="G52" s="4"/>
      <c r="H52" s="4"/>
      <c r="I52" s="4"/>
      <c r="J52" s="4"/>
      <c r="K52" s="4"/>
    </row>
    <row r="53" spans="1:11">
      <c r="A53" s="6">
        <v>44713</v>
      </c>
      <c r="B53" s="7">
        <v>3.028</v>
      </c>
      <c r="C53" s="4"/>
      <c r="D53" s="4"/>
      <c r="E53" s="4"/>
      <c r="F53" s="4"/>
      <c r="G53" s="4"/>
      <c r="H53" s="4"/>
      <c r="I53" s="4"/>
      <c r="J53" s="4"/>
      <c r="K53" s="4"/>
    </row>
    <row r="54" spans="1:11">
      <c r="A54" s="6">
        <v>44682</v>
      </c>
      <c r="B54" s="7">
        <v>2.7480000000000002</v>
      </c>
      <c r="C54" s="4"/>
      <c r="D54" s="4"/>
      <c r="E54" s="4"/>
      <c r="F54" s="4"/>
      <c r="G54" s="4"/>
      <c r="H54" s="4"/>
      <c r="I54" s="4"/>
      <c r="J54" s="4"/>
      <c r="K54" s="4"/>
    </row>
    <row r="55" spans="1:11">
      <c r="A55" s="6">
        <v>44652</v>
      </c>
      <c r="B55" s="7">
        <v>2.7639999999999998</v>
      </c>
      <c r="C55" s="4"/>
      <c r="D55" s="4"/>
      <c r="E55" s="4"/>
      <c r="F55" s="4"/>
      <c r="G55" s="4"/>
      <c r="H55" s="4"/>
      <c r="I55" s="4"/>
      <c r="J55" s="4"/>
      <c r="K55" s="4"/>
    </row>
    <row r="56" spans="1:11">
      <c r="A56" s="6">
        <v>44621</v>
      </c>
      <c r="B56" s="7">
        <v>2.09</v>
      </c>
      <c r="C56" s="4"/>
      <c r="D56" s="4"/>
      <c r="E56" s="4"/>
      <c r="F56" s="4"/>
      <c r="G56" s="4"/>
      <c r="H56" s="4"/>
      <c r="I56" s="4"/>
      <c r="J56" s="4"/>
      <c r="K56" s="4"/>
    </row>
    <row r="57" spans="1:11">
      <c r="A57" s="6">
        <v>44593</v>
      </c>
      <c r="B57" s="7">
        <v>1.825</v>
      </c>
      <c r="C57" s="4"/>
      <c r="D57" s="4"/>
      <c r="E57" s="4"/>
      <c r="F57" s="4"/>
      <c r="G57" s="4"/>
      <c r="H57" s="4"/>
      <c r="I57" s="4"/>
      <c r="J57" s="4"/>
      <c r="K57" s="4"/>
    </row>
    <row r="58" spans="1:11">
      <c r="A58" s="6">
        <v>44562</v>
      </c>
      <c r="B58" s="7">
        <v>1.649</v>
      </c>
      <c r="C58" s="4"/>
      <c r="D58" s="4"/>
      <c r="E58" s="4"/>
      <c r="F58" s="4"/>
      <c r="G58" s="4"/>
      <c r="H58" s="4"/>
      <c r="I58" s="4"/>
      <c r="J58" s="4"/>
      <c r="K58" s="4"/>
    </row>
    <row r="59" spans="1:11">
      <c r="A59" s="6">
        <v>44531</v>
      </c>
      <c r="B59" s="7">
        <v>1.4450000000000001</v>
      </c>
      <c r="C59" s="4"/>
      <c r="D59" s="4"/>
      <c r="E59" s="4"/>
      <c r="F59" s="4"/>
      <c r="G59" s="4"/>
      <c r="H59" s="4"/>
      <c r="I59" s="4"/>
      <c r="J59" s="4"/>
      <c r="K59" s="4"/>
    </row>
    <row r="60" spans="1:11">
      <c r="A60" s="6">
        <v>44501</v>
      </c>
      <c r="B60" s="7">
        <v>1.4810000000000001</v>
      </c>
      <c r="C60" s="4"/>
      <c r="D60" s="4"/>
      <c r="E60" s="4"/>
      <c r="F60" s="4"/>
      <c r="G60" s="4"/>
      <c r="H60" s="4"/>
      <c r="I60" s="4"/>
      <c r="J60" s="4"/>
      <c r="K60" s="4"/>
    </row>
    <row r="61" spans="1:11">
      <c r="A61" s="6">
        <v>44470</v>
      </c>
      <c r="B61" s="7">
        <v>1.4790000000000001</v>
      </c>
      <c r="C61" s="4"/>
      <c r="D61" s="4"/>
      <c r="E61" s="4"/>
      <c r="F61" s="4"/>
      <c r="G61" s="4"/>
      <c r="H61" s="4"/>
      <c r="I61" s="4"/>
      <c r="J61" s="4"/>
      <c r="K61" s="4"/>
    </row>
    <row r="62" spans="1:11">
      <c r="A62" s="6">
        <v>44440</v>
      </c>
      <c r="B62" s="7">
        <v>1.29</v>
      </c>
      <c r="C62" s="4"/>
      <c r="D62" s="4"/>
      <c r="E62" s="4"/>
      <c r="F62" s="4"/>
      <c r="G62" s="4"/>
      <c r="H62" s="4"/>
      <c r="I62" s="4"/>
      <c r="J62" s="4"/>
      <c r="K62" s="4"/>
    </row>
    <row r="63" spans="1:11">
      <c r="A63" s="6">
        <v>44409</v>
      </c>
      <c r="B63" s="7">
        <v>1.0129999999999999</v>
      </c>
      <c r="C63" s="4"/>
      <c r="D63" s="4"/>
      <c r="E63" s="4"/>
      <c r="F63" s="4"/>
      <c r="G63" s="4"/>
      <c r="H63" s="4"/>
      <c r="I63" s="4"/>
      <c r="J63" s="4"/>
      <c r="K63" s="4"/>
    </row>
    <row r="64" spans="1:11">
      <c r="A64" s="6">
        <v>44378</v>
      </c>
      <c r="B64" s="7">
        <v>0.93899999999999995</v>
      </c>
      <c r="C64" s="4"/>
      <c r="D64" s="4"/>
      <c r="E64" s="4"/>
      <c r="F64" s="4"/>
      <c r="G64" s="4"/>
      <c r="H64" s="4"/>
      <c r="I64" s="4"/>
      <c r="J64" s="4"/>
      <c r="K64" s="4"/>
    </row>
    <row r="65" spans="1:11">
      <c r="A65" s="6">
        <v>44348</v>
      </c>
      <c r="B65" s="7">
        <v>1.2070000000000001</v>
      </c>
      <c r="C65" s="4"/>
      <c r="D65" s="4"/>
      <c r="E65" s="4"/>
      <c r="F65" s="4"/>
      <c r="G65" s="4"/>
      <c r="H65" s="4"/>
      <c r="I65" s="4"/>
      <c r="J65" s="4"/>
      <c r="K65" s="4"/>
    </row>
    <row r="66" spans="1:11">
      <c r="A66" s="6">
        <v>44317</v>
      </c>
      <c r="B66" s="7">
        <v>1.1839999999999999</v>
      </c>
      <c r="C66" s="4"/>
      <c r="D66" s="4"/>
      <c r="E66" s="4"/>
      <c r="F66" s="4"/>
      <c r="G66" s="4"/>
      <c r="H66" s="4"/>
      <c r="I66" s="4"/>
      <c r="J66" s="4"/>
      <c r="K66" s="4"/>
    </row>
    <row r="67" spans="1:11">
      <c r="A67" s="6">
        <v>44287</v>
      </c>
      <c r="B67" s="7">
        <v>1.26</v>
      </c>
      <c r="C67" s="4"/>
      <c r="D67" s="4"/>
      <c r="E67" s="4"/>
      <c r="F67" s="4"/>
      <c r="G67" s="4"/>
      <c r="H67" s="4"/>
      <c r="I67" s="4"/>
      <c r="J67" s="4"/>
      <c r="K67" s="4"/>
    </row>
    <row r="68" spans="1:11">
      <c r="A68" s="6">
        <v>44256</v>
      </c>
      <c r="B68" s="7">
        <v>1.4350000000000001</v>
      </c>
      <c r="C68" s="4"/>
      <c r="D68" s="4"/>
      <c r="E68" s="4"/>
      <c r="F68" s="4"/>
      <c r="G68" s="4"/>
      <c r="H68" s="4"/>
      <c r="I68" s="4"/>
      <c r="J68" s="4"/>
      <c r="K68" s="4"/>
    </row>
    <row r="69" spans="1:11">
      <c r="A69" s="6">
        <v>44228</v>
      </c>
      <c r="B69" s="7">
        <v>1.3360000000000001</v>
      </c>
      <c r="C69" s="4"/>
      <c r="D69" s="4"/>
      <c r="E69" s="4"/>
      <c r="F69" s="4"/>
      <c r="G69" s="4"/>
      <c r="H69" s="4"/>
      <c r="I69" s="4"/>
      <c r="J69" s="4"/>
      <c r="K69" s="4"/>
    </row>
    <row r="70" spans="1:11">
      <c r="A70" s="6">
        <v>44197</v>
      </c>
      <c r="B70" s="7">
        <v>0.82099999999999995</v>
      </c>
      <c r="C70" s="4"/>
      <c r="D70" s="4"/>
      <c r="E70" s="4"/>
      <c r="F70" s="4"/>
      <c r="G70" s="4"/>
      <c r="H70" s="4"/>
      <c r="I70" s="4"/>
      <c r="J70" s="4"/>
      <c r="K70" s="4"/>
    </row>
    <row r="71" spans="1:11">
      <c r="A71" s="6">
        <v>44166</v>
      </c>
      <c r="B71" s="7">
        <v>0.77900000000000003</v>
      </c>
      <c r="C71" s="4"/>
      <c r="D71" s="4"/>
      <c r="E71" s="4"/>
      <c r="F71" s="4"/>
      <c r="G71" s="4"/>
      <c r="H71" s="4"/>
      <c r="I71" s="4"/>
      <c r="J71" s="4"/>
      <c r="K71" s="4"/>
    </row>
    <row r="72" spans="1:11">
      <c r="A72" s="6">
        <v>44136</v>
      </c>
      <c r="B72" s="7">
        <v>0.67300000000000004</v>
      </c>
      <c r="C72" s="4"/>
      <c r="D72" s="4"/>
      <c r="E72" s="4"/>
      <c r="F72" s="4"/>
      <c r="G72" s="4"/>
      <c r="H72" s="4"/>
      <c r="I72" s="4"/>
      <c r="J72" s="4"/>
      <c r="K72" s="4"/>
    </row>
    <row r="73" spans="1:11">
      <c r="A73" s="6">
        <v>44105</v>
      </c>
      <c r="B73" s="7">
        <v>0.58299999999999996</v>
      </c>
      <c r="C73" s="4"/>
      <c r="D73" s="4"/>
      <c r="E73" s="4"/>
      <c r="F73" s="4"/>
      <c r="G73" s="4"/>
      <c r="H73" s="4"/>
      <c r="I73" s="4"/>
      <c r="J73" s="4"/>
      <c r="K73" s="4"/>
    </row>
    <row r="74" spans="1:11">
      <c r="A74" s="6">
        <v>44075</v>
      </c>
      <c r="B74" s="7">
        <v>0.47199999999999998</v>
      </c>
      <c r="C74" s="4"/>
      <c r="D74" s="4"/>
      <c r="E74" s="4"/>
      <c r="F74" s="4"/>
      <c r="G74" s="4"/>
      <c r="H74" s="4"/>
      <c r="I74" s="4"/>
      <c r="J74" s="4"/>
      <c r="K74" s="4"/>
    </row>
    <row r="75" spans="1:11">
      <c r="A75" s="6">
        <v>44044</v>
      </c>
      <c r="B75" s="7">
        <v>0.57799999999999996</v>
      </c>
      <c r="C75" s="4"/>
      <c r="D75" s="4"/>
      <c r="E75" s="4"/>
      <c r="F75" s="4"/>
      <c r="G75" s="4"/>
      <c r="H75" s="4"/>
      <c r="I75" s="4"/>
      <c r="J75" s="4"/>
      <c r="K75" s="4"/>
    </row>
    <row r="76" spans="1:11">
      <c r="A76" s="6">
        <v>44013</v>
      </c>
      <c r="B76" s="7">
        <v>0.41599999999999998</v>
      </c>
      <c r="C76" s="4"/>
      <c r="D76" s="4"/>
      <c r="E76" s="4"/>
      <c r="F76" s="4"/>
      <c r="G76" s="4"/>
      <c r="H76" s="4"/>
      <c r="I76" s="4"/>
      <c r="J76" s="4"/>
      <c r="K76" s="4"/>
    </row>
    <row r="77" spans="1:11">
      <c r="A77" s="6">
        <v>43983</v>
      </c>
      <c r="B77" s="7">
        <v>0.65100000000000002</v>
      </c>
      <c r="C77" s="4"/>
      <c r="D77" s="4"/>
      <c r="E77" s="4"/>
      <c r="F77" s="4"/>
      <c r="G77" s="4"/>
      <c r="H77" s="4"/>
      <c r="I77" s="4"/>
      <c r="J77" s="4"/>
      <c r="K77" s="4"/>
    </row>
    <row r="78" spans="1:11">
      <c r="A78" s="6">
        <v>43952</v>
      </c>
      <c r="B78" s="7">
        <v>0.67800000000000005</v>
      </c>
      <c r="C78" s="4"/>
      <c r="D78" s="4"/>
      <c r="E78" s="4"/>
      <c r="F78" s="4"/>
      <c r="G78" s="4"/>
      <c r="H78" s="4"/>
      <c r="I78" s="4"/>
      <c r="J78" s="4"/>
      <c r="K78" s="4"/>
    </row>
    <row r="79" spans="1:11">
      <c r="A79" s="6">
        <v>43922</v>
      </c>
      <c r="B79" s="7">
        <v>0.60399999999999998</v>
      </c>
      <c r="C79" s="4"/>
      <c r="D79" s="4"/>
      <c r="E79" s="4"/>
      <c r="F79" s="4"/>
      <c r="G79" s="4"/>
      <c r="H79" s="4"/>
      <c r="I79" s="4"/>
      <c r="J79" s="4"/>
      <c r="K79" s="4"/>
    </row>
    <row r="80" spans="1:11">
      <c r="A80" s="6">
        <v>43891</v>
      </c>
      <c r="B80" s="7">
        <v>0.75</v>
      </c>
      <c r="C80" s="4"/>
      <c r="D80" s="4"/>
      <c r="E80" s="4"/>
      <c r="F80" s="4"/>
      <c r="G80" s="4"/>
      <c r="H80" s="4"/>
      <c r="I80" s="4"/>
      <c r="J80" s="4"/>
      <c r="K80" s="4"/>
    </row>
    <row r="81" spans="1:11">
      <c r="A81" s="6">
        <v>43862</v>
      </c>
      <c r="B81" s="7">
        <v>1.054</v>
      </c>
      <c r="C81" s="4"/>
      <c r="D81" s="4"/>
      <c r="E81" s="4"/>
      <c r="F81" s="4"/>
      <c r="G81" s="4"/>
      <c r="H81" s="4"/>
      <c r="I81" s="4"/>
      <c r="J81" s="4"/>
      <c r="K81" s="4"/>
    </row>
    <row r="82" spans="1:11">
      <c r="A82" s="6">
        <v>43831</v>
      </c>
      <c r="B82" s="7">
        <v>1.4</v>
      </c>
      <c r="C82" s="4"/>
      <c r="D82" s="4"/>
      <c r="E82" s="4"/>
      <c r="F82" s="4"/>
      <c r="G82" s="4"/>
      <c r="H82" s="4"/>
      <c r="I82" s="4"/>
      <c r="J82" s="4"/>
      <c r="K82" s="4"/>
    </row>
    <row r="83" spans="1:11">
      <c r="A83" s="6">
        <v>43800</v>
      </c>
      <c r="B83" s="7">
        <v>1.8220000000000001</v>
      </c>
      <c r="C83" s="4"/>
      <c r="D83" s="4"/>
      <c r="E83" s="4"/>
      <c r="F83" s="4"/>
      <c r="G83" s="4"/>
      <c r="H83" s="4"/>
      <c r="I83" s="4"/>
      <c r="J83" s="4"/>
      <c r="K83" s="4"/>
    </row>
    <row r="84" spans="1:11">
      <c r="A84" s="6">
        <v>43770</v>
      </c>
      <c r="B84" s="7">
        <v>1.5269999999999999</v>
      </c>
      <c r="C84" s="4"/>
      <c r="D84" s="4"/>
      <c r="E84" s="4"/>
      <c r="F84" s="4"/>
      <c r="G84" s="4"/>
      <c r="H84" s="4"/>
      <c r="I84" s="4"/>
      <c r="J84" s="4"/>
      <c r="K84" s="4"/>
    </row>
    <row r="85" spans="1:11">
      <c r="A85" s="6">
        <v>43739</v>
      </c>
      <c r="B85" s="7">
        <v>1.5409999999999999</v>
      </c>
      <c r="C85" s="4"/>
      <c r="D85" s="4"/>
      <c r="E85" s="4"/>
      <c r="F85" s="4"/>
      <c r="G85" s="4"/>
      <c r="H85" s="4"/>
      <c r="I85" s="4"/>
      <c r="J85" s="4"/>
      <c r="K85" s="4"/>
    </row>
    <row r="86" spans="1:11">
      <c r="A86" s="6">
        <v>43709</v>
      </c>
      <c r="B86" s="7">
        <v>1.2410000000000001</v>
      </c>
      <c r="C86" s="4"/>
      <c r="D86" s="4"/>
      <c r="E86" s="4"/>
      <c r="F86" s="4"/>
      <c r="G86" s="4"/>
      <c r="H86" s="4"/>
      <c r="I86" s="4"/>
      <c r="J86" s="4"/>
      <c r="K86" s="4"/>
    </row>
    <row r="87" spans="1:11">
      <c r="A87" s="6">
        <v>43678</v>
      </c>
      <c r="B87" s="7">
        <v>1.1299999999999999</v>
      </c>
      <c r="C87" s="4"/>
      <c r="D87" s="4"/>
      <c r="E87" s="4"/>
      <c r="F87" s="4"/>
      <c r="G87" s="4"/>
      <c r="H87" s="4"/>
      <c r="I87" s="4"/>
      <c r="J87" s="4"/>
      <c r="K87" s="4"/>
    </row>
    <row r="88" spans="1:11">
      <c r="A88" s="6">
        <v>43647</v>
      </c>
      <c r="B88" s="7">
        <v>1.637</v>
      </c>
      <c r="C88" s="4"/>
      <c r="D88" s="4"/>
      <c r="E88" s="4"/>
      <c r="F88" s="4"/>
      <c r="G88" s="4"/>
      <c r="H88" s="4"/>
      <c r="I88" s="4"/>
      <c r="J88" s="4"/>
      <c r="K88" s="4"/>
    </row>
    <row r="89" spans="1:11">
      <c r="A89" s="6">
        <v>43617</v>
      </c>
      <c r="B89" s="7">
        <v>1.6839999999999999</v>
      </c>
      <c r="C89" s="4"/>
      <c r="D89" s="4"/>
      <c r="E89" s="4"/>
      <c r="F89" s="4"/>
      <c r="G89" s="4"/>
      <c r="H89" s="4"/>
      <c r="I89" s="4"/>
      <c r="J89" s="4"/>
      <c r="K89" s="4"/>
    </row>
    <row r="90" spans="1:11">
      <c r="A90" s="6">
        <v>43586</v>
      </c>
      <c r="B90" s="7">
        <v>1.59</v>
      </c>
      <c r="C90" s="4"/>
      <c r="D90" s="4"/>
      <c r="E90" s="4"/>
      <c r="F90" s="4"/>
      <c r="G90" s="4"/>
      <c r="H90" s="4"/>
      <c r="I90" s="4"/>
      <c r="J90" s="4"/>
      <c r="K90" s="4"/>
    </row>
    <row r="91" spans="1:11">
      <c r="A91" s="6">
        <v>43556</v>
      </c>
      <c r="B91" s="7">
        <v>1.6659999999999999</v>
      </c>
      <c r="C91" s="4"/>
      <c r="D91" s="4"/>
      <c r="E91" s="4"/>
      <c r="F91" s="4"/>
      <c r="G91" s="4"/>
      <c r="H91" s="4"/>
      <c r="I91" s="4"/>
      <c r="J91" s="4"/>
      <c r="K91" s="4"/>
    </row>
    <row r="92" spans="1:11">
      <c r="A92" s="6">
        <v>43525</v>
      </c>
      <c r="B92" s="7">
        <v>1.4710000000000001</v>
      </c>
      <c r="C92" s="4"/>
      <c r="D92" s="4"/>
      <c r="E92" s="4"/>
      <c r="F92" s="4"/>
      <c r="G92" s="4"/>
      <c r="H92" s="4"/>
      <c r="I92" s="4"/>
      <c r="J92" s="4"/>
      <c r="K92" s="4"/>
    </row>
    <row r="93" spans="1:11">
      <c r="A93" s="6">
        <v>43497</v>
      </c>
      <c r="B93" s="7">
        <v>1.792</v>
      </c>
      <c r="C93" s="4"/>
      <c r="D93" s="4"/>
      <c r="E93" s="4"/>
      <c r="F93" s="4"/>
      <c r="G93" s="4"/>
      <c r="H93" s="4"/>
      <c r="I93" s="4"/>
      <c r="J93" s="4"/>
      <c r="K93" s="4"/>
    </row>
    <row r="94" spans="1:11">
      <c r="A94" s="6">
        <v>43466</v>
      </c>
      <c r="B94" s="7">
        <v>1.823</v>
      </c>
      <c r="C94" s="4"/>
      <c r="D94" s="4"/>
      <c r="E94" s="4"/>
      <c r="F94" s="4"/>
      <c r="G94" s="4"/>
      <c r="H94" s="4"/>
      <c r="I94" s="4"/>
      <c r="J94" s="4"/>
      <c r="K94" s="4"/>
    </row>
    <row r="95" spans="1:11">
      <c r="A95" s="6">
        <v>43435</v>
      </c>
      <c r="B95" s="7">
        <v>1.984</v>
      </c>
      <c r="C95" s="4"/>
      <c r="D95" s="4"/>
      <c r="E95" s="4"/>
      <c r="F95" s="4"/>
      <c r="G95" s="4"/>
      <c r="H95" s="4"/>
      <c r="I95" s="4"/>
      <c r="J95" s="4"/>
      <c r="K95" s="4"/>
    </row>
    <row r="96" spans="1:11">
      <c r="A96" s="6">
        <v>43405</v>
      </c>
      <c r="B96" s="7">
        <v>2.286</v>
      </c>
      <c r="C96" s="4"/>
      <c r="D96" s="4"/>
      <c r="E96" s="4"/>
      <c r="F96" s="4"/>
      <c r="G96" s="4"/>
      <c r="H96" s="4"/>
      <c r="I96" s="4"/>
      <c r="J96" s="4"/>
      <c r="K96" s="4"/>
    </row>
    <row r="97" spans="1:11">
      <c r="A97" s="6">
        <v>43374</v>
      </c>
      <c r="B97" s="7">
        <v>2.4260000000000002</v>
      </c>
      <c r="C97" s="4"/>
      <c r="D97" s="4"/>
      <c r="E97" s="4"/>
      <c r="F97" s="4"/>
      <c r="G97" s="4"/>
      <c r="H97" s="4"/>
      <c r="I97" s="4"/>
      <c r="J97" s="4"/>
      <c r="K97" s="4"/>
    </row>
    <row r="98" spans="1:11">
      <c r="A98" s="6">
        <v>43344</v>
      </c>
      <c r="B98" s="7">
        <v>2.4</v>
      </c>
      <c r="C98" s="4"/>
      <c r="D98" s="4"/>
      <c r="E98" s="4"/>
      <c r="F98" s="4"/>
      <c r="G98" s="4"/>
      <c r="H98" s="4"/>
      <c r="I98" s="4"/>
      <c r="J98" s="4"/>
      <c r="K98" s="4"/>
    </row>
    <row r="99" spans="1:11">
      <c r="A99" s="6">
        <v>43313</v>
      </c>
      <c r="B99" s="7">
        <v>2.2000000000000002</v>
      </c>
      <c r="C99" s="4"/>
      <c r="D99" s="4"/>
      <c r="E99" s="4"/>
      <c r="F99" s="4"/>
      <c r="G99" s="4"/>
      <c r="H99" s="4"/>
      <c r="I99" s="4"/>
      <c r="J99" s="4"/>
      <c r="K99" s="4"/>
    </row>
    <row r="100" spans="1:11">
      <c r="A100" s="6">
        <v>43282</v>
      </c>
      <c r="B100" s="7">
        <v>2.198</v>
      </c>
      <c r="C100" s="4"/>
      <c r="D100" s="4"/>
      <c r="E100" s="4"/>
      <c r="F100" s="4"/>
      <c r="G100" s="4"/>
      <c r="H100" s="4"/>
      <c r="I100" s="4"/>
      <c r="J100" s="4"/>
      <c r="K100" s="4"/>
    </row>
    <row r="101" spans="1:11">
      <c r="A101" s="6">
        <v>43252</v>
      </c>
      <c r="B101" s="7">
        <v>2.222</v>
      </c>
      <c r="C101" s="4"/>
      <c r="D101" s="4"/>
      <c r="E101" s="4"/>
      <c r="F101" s="4"/>
      <c r="G101" s="4"/>
      <c r="H101" s="4"/>
      <c r="I101" s="4"/>
      <c r="J101" s="4"/>
      <c r="K101" s="4"/>
    </row>
    <row r="102" spans="1:11">
      <c r="A102" s="6">
        <v>43221</v>
      </c>
      <c r="B102" s="7">
        <v>2.1789999999999998</v>
      </c>
      <c r="C102" s="4"/>
      <c r="D102" s="4"/>
      <c r="E102" s="4"/>
      <c r="F102" s="4"/>
      <c r="G102" s="4"/>
      <c r="H102" s="4"/>
      <c r="I102" s="4"/>
      <c r="J102" s="4"/>
      <c r="K102" s="4"/>
    </row>
    <row r="103" spans="1:11">
      <c r="A103" s="6">
        <v>43191</v>
      </c>
      <c r="B103" s="7">
        <v>2.1859999999999999</v>
      </c>
      <c r="C103" s="4"/>
      <c r="D103" s="4"/>
      <c r="E103" s="4"/>
      <c r="F103" s="4"/>
      <c r="G103" s="4"/>
      <c r="H103" s="4"/>
      <c r="I103" s="4"/>
      <c r="J103" s="4"/>
      <c r="K103" s="4"/>
    </row>
    <row r="104" spans="1:11">
      <c r="A104" s="6">
        <v>43160</v>
      </c>
      <c r="B104" s="7">
        <v>1.9670000000000001</v>
      </c>
      <c r="C104" s="4"/>
      <c r="D104" s="4"/>
      <c r="E104" s="4"/>
      <c r="F104" s="4"/>
      <c r="G104" s="4"/>
      <c r="H104" s="4"/>
      <c r="I104" s="4"/>
      <c r="J104" s="4"/>
      <c r="K104" s="4"/>
    </row>
    <row r="105" spans="1:11">
      <c r="A105" s="6">
        <v>43132</v>
      </c>
      <c r="B105" s="7">
        <v>2.0179999999999998</v>
      </c>
      <c r="C105" s="4"/>
      <c r="D105" s="4"/>
      <c r="E105" s="4"/>
      <c r="F105" s="4"/>
      <c r="G105" s="4"/>
      <c r="H105" s="4"/>
      <c r="I105" s="4"/>
      <c r="J105" s="4"/>
      <c r="K105" s="4"/>
    </row>
    <row r="106" spans="1:11">
      <c r="A106" s="6">
        <v>43101</v>
      </c>
      <c r="B106" s="7">
        <v>2.0310000000000001</v>
      </c>
      <c r="C106" s="4"/>
      <c r="D106" s="4"/>
      <c r="E106" s="4"/>
      <c r="F106" s="4"/>
      <c r="G106" s="4"/>
      <c r="H106" s="4"/>
      <c r="I106" s="4"/>
      <c r="J106" s="4"/>
      <c r="K106" s="4"/>
    </row>
    <row r="107" spans="1:11">
      <c r="A107" s="6">
        <v>43070</v>
      </c>
      <c r="B107" s="7">
        <v>1.81</v>
      </c>
      <c r="C107" s="4"/>
      <c r="D107" s="4"/>
      <c r="E107" s="4"/>
      <c r="F107" s="4"/>
      <c r="G107" s="4"/>
      <c r="H107" s="4"/>
      <c r="I107" s="4"/>
      <c r="J107" s="4"/>
      <c r="K107" s="4"/>
    </row>
    <row r="108" spans="1:11">
      <c r="A108" s="6">
        <v>43040</v>
      </c>
      <c r="B108" s="7">
        <v>1.8720000000000001</v>
      </c>
      <c r="C108" s="4"/>
      <c r="D108" s="4"/>
      <c r="E108" s="4"/>
      <c r="F108" s="4"/>
      <c r="G108" s="4"/>
      <c r="H108" s="4"/>
      <c r="I108" s="4"/>
      <c r="J108" s="4"/>
      <c r="K108" s="4"/>
    </row>
    <row r="109" spans="1:11">
      <c r="A109" s="6">
        <v>43009</v>
      </c>
      <c r="B109" s="7">
        <v>1.8240000000000001</v>
      </c>
      <c r="C109" s="4"/>
      <c r="D109" s="4"/>
      <c r="E109" s="4"/>
      <c r="F109" s="4"/>
      <c r="G109" s="4"/>
      <c r="H109" s="4"/>
      <c r="I109" s="4"/>
      <c r="J109" s="4"/>
      <c r="K109" s="4"/>
    </row>
    <row r="110" spans="1:11">
      <c r="A110" s="6">
        <v>42979</v>
      </c>
      <c r="B110" s="7">
        <v>1.7130000000000001</v>
      </c>
      <c r="C110" s="4"/>
      <c r="D110" s="4"/>
      <c r="E110" s="4"/>
      <c r="F110" s="4"/>
      <c r="G110" s="4"/>
      <c r="H110" s="4"/>
      <c r="I110" s="4"/>
      <c r="J110" s="4"/>
      <c r="K110" s="4"/>
    </row>
    <row r="111" spans="1:11">
      <c r="A111" s="6">
        <v>42948</v>
      </c>
      <c r="B111" s="7">
        <v>1.4750000000000001</v>
      </c>
      <c r="C111" s="4"/>
      <c r="D111" s="4"/>
      <c r="E111" s="4"/>
      <c r="F111" s="4"/>
      <c r="G111" s="4"/>
      <c r="H111" s="4"/>
      <c r="I111" s="4"/>
      <c r="J111" s="4"/>
      <c r="K111" s="4"/>
    </row>
    <row r="112" spans="1:11">
      <c r="A112" s="6">
        <v>42917</v>
      </c>
      <c r="B112" s="7">
        <v>1.5</v>
      </c>
      <c r="C112" s="4"/>
      <c r="D112" s="4"/>
      <c r="E112" s="4"/>
      <c r="F112" s="4"/>
      <c r="G112" s="4"/>
      <c r="H112" s="4"/>
      <c r="I112" s="4"/>
      <c r="J112" s="4"/>
      <c r="K112" s="4"/>
    </row>
    <row r="113" spans="1:11">
      <c r="A113" s="6">
        <v>42887</v>
      </c>
      <c r="B113" s="7">
        <v>1.51</v>
      </c>
      <c r="C113" s="4"/>
      <c r="D113" s="4"/>
      <c r="E113" s="4"/>
      <c r="F113" s="4"/>
      <c r="G113" s="4"/>
      <c r="H113" s="4"/>
      <c r="I113" s="4"/>
      <c r="J113" s="4"/>
      <c r="K113" s="4"/>
    </row>
    <row r="114" spans="1:11">
      <c r="A114" s="6">
        <v>42856</v>
      </c>
      <c r="B114" s="7">
        <v>1.2989999999999999</v>
      </c>
      <c r="C114" s="4"/>
      <c r="D114" s="4"/>
      <c r="E114" s="4"/>
      <c r="F114" s="4"/>
      <c r="G114" s="4"/>
      <c r="H114" s="4"/>
      <c r="I114" s="4"/>
      <c r="J114" s="4"/>
      <c r="K114" s="4"/>
    </row>
    <row r="115" spans="1:11">
      <c r="A115" s="6">
        <v>42826</v>
      </c>
      <c r="B115" s="7">
        <v>1.4450000000000001</v>
      </c>
      <c r="C115" s="4"/>
      <c r="D115" s="4"/>
      <c r="E115" s="4"/>
      <c r="F115" s="4"/>
      <c r="G115" s="4"/>
      <c r="H115" s="4"/>
      <c r="I115" s="4"/>
      <c r="J115" s="4"/>
      <c r="K115" s="4"/>
    </row>
    <row r="116" spans="1:11">
      <c r="A116" s="6">
        <v>42795</v>
      </c>
      <c r="B116" s="7">
        <v>1.617</v>
      </c>
      <c r="C116" s="4"/>
      <c r="D116" s="4"/>
      <c r="E116" s="4"/>
      <c r="F116" s="4"/>
      <c r="G116" s="4"/>
      <c r="H116" s="4"/>
      <c r="I116" s="4"/>
      <c r="J116" s="4"/>
      <c r="K116" s="4"/>
    </row>
    <row r="117" spans="1:11">
      <c r="A117" s="6">
        <v>42767</v>
      </c>
      <c r="B117" s="7">
        <v>1.794</v>
      </c>
      <c r="C117" s="4"/>
      <c r="D117" s="4"/>
      <c r="E117" s="4"/>
      <c r="F117" s="4"/>
      <c r="G117" s="4"/>
      <c r="H117" s="4"/>
      <c r="I117" s="4"/>
      <c r="J117" s="4"/>
      <c r="K117" s="4"/>
    </row>
    <row r="118" spans="1:11">
      <c r="A118" s="6">
        <v>42736</v>
      </c>
      <c r="B118" s="7">
        <v>1.9319999999999999</v>
      </c>
      <c r="C118" s="4"/>
      <c r="D118" s="4"/>
      <c r="E118" s="4"/>
      <c r="F118" s="4"/>
      <c r="G118" s="4"/>
      <c r="H118" s="4"/>
      <c r="I118" s="4"/>
      <c r="J118" s="4"/>
      <c r="K118" s="4"/>
    </row>
    <row r="119" spans="1:11">
      <c r="A119" s="6">
        <v>42705</v>
      </c>
      <c r="B119" s="7">
        <v>1.901</v>
      </c>
      <c r="C119" s="4"/>
      <c r="D119" s="4"/>
      <c r="E119" s="4"/>
      <c r="F119" s="4"/>
      <c r="G119" s="4"/>
      <c r="H119" s="4"/>
      <c r="I119" s="4"/>
      <c r="J119" s="4"/>
      <c r="K119" s="4"/>
    </row>
    <row r="120" spans="1:11">
      <c r="A120" s="6">
        <v>42675</v>
      </c>
      <c r="B120" s="7">
        <v>1.3979999999999999</v>
      </c>
      <c r="C120" s="4"/>
      <c r="D120" s="4"/>
      <c r="E120" s="4"/>
      <c r="F120" s="4"/>
      <c r="G120" s="4"/>
      <c r="H120" s="4"/>
      <c r="I120" s="4"/>
      <c r="J120" s="4"/>
      <c r="K120" s="4"/>
    </row>
    <row r="121" spans="1:11">
      <c r="A121" s="6">
        <v>42644</v>
      </c>
      <c r="B121" s="7">
        <v>1.0880000000000001</v>
      </c>
      <c r="C121" s="4"/>
      <c r="D121" s="4"/>
      <c r="E121" s="4"/>
      <c r="F121" s="4"/>
      <c r="G121" s="4"/>
      <c r="H121" s="4"/>
      <c r="I121" s="4"/>
      <c r="J121" s="4"/>
      <c r="K121" s="4"/>
    </row>
    <row r="122" spans="1:11">
      <c r="A122" s="6">
        <v>42614</v>
      </c>
      <c r="B122" s="7">
        <v>0.96099999999999997</v>
      </c>
      <c r="C122" s="4"/>
      <c r="D122" s="4"/>
      <c r="E122" s="4"/>
      <c r="F122" s="4"/>
      <c r="G122" s="4"/>
      <c r="H122" s="4"/>
      <c r="I122" s="4"/>
      <c r="J122" s="4"/>
      <c r="K122" s="4"/>
    </row>
  </sheetData>
  <mergeCells count="1">
    <mergeCell ref="D7:K7"/>
  </mergeCells>
  <hyperlinks>
    <hyperlink ref="D7" r:id="rId1" xr:uid="{58B02A00-FA19-47DC-832D-103C14765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 Statement Model</vt:lpstr>
      <vt:lpstr>Comparable Company Analysis</vt:lpstr>
      <vt:lpstr>DCF</vt:lpstr>
      <vt:lpstr>Assumptions</vt:lpstr>
      <vt:lpstr>Risk-free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iWS-14</cp:lastModifiedBy>
  <dcterms:created xsi:type="dcterms:W3CDTF">2015-06-05T18:17:20Z</dcterms:created>
  <dcterms:modified xsi:type="dcterms:W3CDTF">2026-09-02T04:49:41Z</dcterms:modified>
</cp:coreProperties>
</file>